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TECH\Desktop\프로젝트\daejeon-travel-chatbot\outputs\restaurant-review\"/>
    </mc:Choice>
  </mc:AlternateContent>
  <xr:revisionPtr revIDLastSave="0" documentId="8_{C488D159-6431-4095-B78F-C320DE552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토 현황" sheetId="1" r:id="rId1"/>
    <sheet name="후보 검토" sheetId="2" r:id="rId2"/>
    <sheet name="검토 가이드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1" i="2" l="1"/>
  <c r="I460" i="2"/>
  <c r="I459" i="2"/>
  <c r="J458" i="2"/>
  <c r="I458" i="2"/>
  <c r="I457" i="2"/>
  <c r="I456" i="2"/>
  <c r="I455" i="2"/>
  <c r="J454" i="2"/>
  <c r="I454" i="2"/>
  <c r="I453" i="2"/>
  <c r="I452" i="2"/>
  <c r="I451" i="2"/>
  <c r="J450" i="2"/>
  <c r="I450" i="2"/>
  <c r="I449" i="2"/>
  <c r="I448" i="2"/>
  <c r="J447" i="2"/>
  <c r="I447" i="2"/>
  <c r="J446" i="2"/>
  <c r="I446" i="2"/>
  <c r="J445" i="2"/>
  <c r="I445" i="2"/>
  <c r="I444" i="2"/>
  <c r="I443" i="2"/>
  <c r="J442" i="2"/>
  <c r="I442" i="2"/>
  <c r="J441" i="2"/>
  <c r="I441" i="2"/>
  <c r="I440" i="2"/>
  <c r="I439" i="2"/>
  <c r="I438" i="2"/>
  <c r="I437" i="2"/>
  <c r="I436" i="2"/>
  <c r="J435" i="2"/>
  <c r="I435" i="2"/>
  <c r="J434" i="2"/>
  <c r="I434" i="2"/>
  <c r="I433" i="2"/>
  <c r="J432" i="2"/>
  <c r="I432" i="2"/>
  <c r="I431" i="2"/>
  <c r="I430" i="2"/>
  <c r="J429" i="2"/>
  <c r="I429" i="2"/>
  <c r="I428" i="2"/>
  <c r="I427" i="2"/>
  <c r="I426" i="2"/>
  <c r="J425" i="2"/>
  <c r="I425" i="2"/>
  <c r="J424" i="2"/>
  <c r="I424" i="2"/>
  <c r="J423" i="2"/>
  <c r="I423" i="2"/>
  <c r="I422" i="2"/>
  <c r="I421" i="2"/>
  <c r="J420" i="2"/>
  <c r="I420" i="2"/>
  <c r="I419" i="2"/>
  <c r="I418" i="2"/>
  <c r="I417" i="2"/>
  <c r="I416" i="2"/>
  <c r="I415" i="2"/>
  <c r="J414" i="2"/>
  <c r="I414" i="2"/>
  <c r="I413" i="2"/>
  <c r="I412" i="2"/>
  <c r="I411" i="2"/>
  <c r="J410" i="2"/>
  <c r="I410" i="2"/>
  <c r="I409" i="2"/>
  <c r="I408" i="2"/>
  <c r="I407" i="2"/>
  <c r="J406" i="2"/>
  <c r="I406" i="2"/>
  <c r="I405" i="2"/>
  <c r="J404" i="2"/>
  <c r="I404" i="2"/>
  <c r="I403" i="2"/>
  <c r="I402" i="2"/>
  <c r="I401" i="2"/>
  <c r="I400" i="2"/>
  <c r="I399" i="2"/>
  <c r="J398" i="2"/>
  <c r="I398" i="2"/>
  <c r="I397" i="2"/>
  <c r="I396" i="2"/>
  <c r="J395" i="2"/>
  <c r="I395" i="2"/>
  <c r="I394" i="2"/>
  <c r="I393" i="2"/>
  <c r="I392" i="2"/>
  <c r="J391" i="2"/>
  <c r="I391" i="2"/>
  <c r="J390" i="2"/>
  <c r="I390" i="2"/>
  <c r="I389" i="2"/>
  <c r="J388" i="2"/>
  <c r="I388" i="2"/>
  <c r="J387" i="2"/>
  <c r="I387" i="2"/>
  <c r="I386" i="2"/>
  <c r="J385" i="2"/>
  <c r="I385" i="2"/>
  <c r="J384" i="2"/>
  <c r="I384" i="2"/>
  <c r="I383" i="2"/>
  <c r="J382" i="2"/>
  <c r="I382" i="2"/>
  <c r="J381" i="2"/>
  <c r="I381" i="2"/>
  <c r="I380" i="2"/>
  <c r="I379" i="2"/>
  <c r="J378" i="2"/>
  <c r="I378" i="2"/>
  <c r="J377" i="2"/>
  <c r="I377" i="2"/>
  <c r="I376" i="2"/>
  <c r="I375" i="2"/>
  <c r="I374" i="2"/>
  <c r="J373" i="2"/>
  <c r="I373" i="2"/>
  <c r="J372" i="2"/>
  <c r="I372" i="2"/>
  <c r="J371" i="2"/>
  <c r="I371" i="2"/>
  <c r="J370" i="2"/>
  <c r="I370" i="2"/>
  <c r="I369" i="2"/>
  <c r="J368" i="2"/>
  <c r="I368" i="2"/>
  <c r="I367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I357" i="2"/>
  <c r="J356" i="2"/>
  <c r="I356" i="2"/>
  <c r="J355" i="2"/>
  <c r="I355" i="2"/>
  <c r="J354" i="2"/>
  <c r="I354" i="2"/>
  <c r="J353" i="2"/>
  <c r="I353" i="2"/>
  <c r="J352" i="2"/>
  <c r="I352" i="2"/>
  <c r="I351" i="2"/>
  <c r="I350" i="2"/>
  <c r="J349" i="2"/>
  <c r="I349" i="2"/>
  <c r="I348" i="2"/>
  <c r="J347" i="2"/>
  <c r="I347" i="2"/>
  <c r="I346" i="2"/>
  <c r="J345" i="2"/>
  <c r="I345" i="2"/>
  <c r="I344" i="2"/>
  <c r="J343" i="2"/>
  <c r="I343" i="2"/>
  <c r="J342" i="2"/>
  <c r="I342" i="2"/>
  <c r="I341" i="2"/>
  <c r="J340" i="2"/>
  <c r="I340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I332" i="2"/>
  <c r="J331" i="2"/>
  <c r="I331" i="2"/>
  <c r="I330" i="2"/>
  <c r="J329" i="2"/>
  <c r="I329" i="2"/>
  <c r="I328" i="2"/>
  <c r="I327" i="2"/>
  <c r="I326" i="2"/>
  <c r="J325" i="2"/>
  <c r="I325" i="2"/>
  <c r="I324" i="2"/>
  <c r="I323" i="2"/>
  <c r="I322" i="2"/>
  <c r="J321" i="2"/>
  <c r="I321" i="2"/>
  <c r="I320" i="2"/>
  <c r="I319" i="2"/>
  <c r="I318" i="2"/>
  <c r="I317" i="2"/>
  <c r="I316" i="2"/>
  <c r="I315" i="2"/>
  <c r="I314" i="2"/>
  <c r="I313" i="2"/>
  <c r="J312" i="2"/>
  <c r="I312" i="2"/>
  <c r="J311" i="2"/>
  <c r="I311" i="2"/>
  <c r="J310" i="2"/>
  <c r="I310" i="2"/>
  <c r="I309" i="2"/>
  <c r="I308" i="2"/>
  <c r="I307" i="2"/>
  <c r="I306" i="2"/>
  <c r="J305" i="2"/>
  <c r="I305" i="2"/>
  <c r="I304" i="2"/>
  <c r="J303" i="2"/>
  <c r="I303" i="2"/>
  <c r="J302" i="2"/>
  <c r="I302" i="2"/>
  <c r="I301" i="2"/>
  <c r="I300" i="2"/>
  <c r="I299" i="2"/>
  <c r="I298" i="2"/>
  <c r="I297" i="2"/>
  <c r="I296" i="2"/>
  <c r="I295" i="2"/>
  <c r="I294" i="2"/>
  <c r="J293" i="2"/>
  <c r="I293" i="2"/>
  <c r="J292" i="2"/>
  <c r="I292" i="2"/>
  <c r="I291" i="2"/>
  <c r="J290" i="2"/>
  <c r="I290" i="2"/>
  <c r="I289" i="2"/>
  <c r="I288" i="2"/>
  <c r="I287" i="2"/>
  <c r="J286" i="2"/>
  <c r="I286" i="2"/>
  <c r="I285" i="2"/>
  <c r="J284" i="2"/>
  <c r="I284" i="2"/>
  <c r="J283" i="2"/>
  <c r="I283" i="2"/>
  <c r="I282" i="2"/>
  <c r="J281" i="2"/>
  <c r="I281" i="2"/>
  <c r="J280" i="2"/>
  <c r="I280" i="2"/>
  <c r="I279" i="2"/>
  <c r="J278" i="2"/>
  <c r="I278" i="2"/>
  <c r="I277" i="2"/>
  <c r="I276" i="2"/>
  <c r="J275" i="2"/>
  <c r="I275" i="2"/>
  <c r="J274" i="2"/>
  <c r="I274" i="2"/>
  <c r="J273" i="2"/>
  <c r="I273" i="2"/>
  <c r="I272" i="2"/>
  <c r="I271" i="2"/>
  <c r="I270" i="2"/>
  <c r="J269" i="2"/>
  <c r="I269" i="2"/>
  <c r="I268" i="2"/>
  <c r="J267" i="2"/>
  <c r="I267" i="2"/>
  <c r="J266" i="2"/>
  <c r="I266" i="2"/>
  <c r="J265" i="2"/>
  <c r="I265" i="2"/>
  <c r="I264" i="2"/>
  <c r="I263" i="2"/>
  <c r="I262" i="2"/>
  <c r="I261" i="2"/>
  <c r="I260" i="2"/>
  <c r="I259" i="2"/>
  <c r="I258" i="2"/>
  <c r="I257" i="2"/>
  <c r="J256" i="2"/>
  <c r="I256" i="2"/>
  <c r="I255" i="2"/>
  <c r="I254" i="2"/>
  <c r="I253" i="2"/>
  <c r="I252" i="2"/>
  <c r="J251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J233" i="2"/>
  <c r="I233" i="2"/>
  <c r="I232" i="2"/>
  <c r="I231" i="2"/>
  <c r="I230" i="2"/>
  <c r="J229" i="2"/>
  <c r="I229" i="2"/>
  <c r="I228" i="2"/>
  <c r="I227" i="2"/>
  <c r="I226" i="2"/>
  <c r="J225" i="2"/>
  <c r="I225" i="2"/>
  <c r="I224" i="2"/>
  <c r="I223" i="2"/>
  <c r="I222" i="2"/>
  <c r="I221" i="2"/>
  <c r="J220" i="2"/>
  <c r="I220" i="2"/>
  <c r="I219" i="2"/>
  <c r="J218" i="2"/>
  <c r="I218" i="2"/>
  <c r="J217" i="2"/>
  <c r="I217" i="2"/>
  <c r="J216" i="2"/>
  <c r="I216" i="2"/>
  <c r="I215" i="2"/>
  <c r="I214" i="2"/>
  <c r="I213" i="2"/>
  <c r="I212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I204" i="2"/>
  <c r="J203" i="2"/>
  <c r="I203" i="2"/>
  <c r="I202" i="2"/>
  <c r="J201" i="2"/>
  <c r="I201" i="2"/>
  <c r="I200" i="2"/>
  <c r="J199" i="2"/>
  <c r="I199" i="2"/>
  <c r="J198" i="2"/>
  <c r="I198" i="2"/>
  <c r="J197" i="2"/>
  <c r="I197" i="2"/>
  <c r="J196" i="2"/>
  <c r="I196" i="2"/>
  <c r="I195" i="2"/>
  <c r="I194" i="2"/>
  <c r="I193" i="2"/>
  <c r="I192" i="2"/>
  <c r="J191" i="2"/>
  <c r="I191" i="2"/>
  <c r="J190" i="2"/>
  <c r="I190" i="2"/>
  <c r="I189" i="2"/>
  <c r="I188" i="2"/>
  <c r="I187" i="2"/>
  <c r="J186" i="2"/>
  <c r="I186" i="2"/>
  <c r="I185" i="2"/>
  <c r="I184" i="2"/>
  <c r="I183" i="2"/>
  <c r="J182" i="2"/>
  <c r="I182" i="2"/>
  <c r="I181" i="2"/>
  <c r="I180" i="2"/>
  <c r="I179" i="2"/>
  <c r="J178" i="2"/>
  <c r="I178" i="2"/>
  <c r="I177" i="2"/>
  <c r="J176" i="2"/>
  <c r="I176" i="2"/>
  <c r="J175" i="2"/>
  <c r="I175" i="2"/>
  <c r="J174" i="2"/>
  <c r="I174" i="2"/>
  <c r="I173" i="2"/>
  <c r="I172" i="2"/>
  <c r="I171" i="2"/>
  <c r="I170" i="2"/>
  <c r="J169" i="2"/>
  <c r="I169" i="2"/>
  <c r="I168" i="2"/>
  <c r="J167" i="2"/>
  <c r="I167" i="2"/>
  <c r="I166" i="2"/>
  <c r="I165" i="2"/>
  <c r="I164" i="2"/>
  <c r="J163" i="2"/>
  <c r="I163" i="2"/>
  <c r="J162" i="2"/>
  <c r="I162" i="2"/>
  <c r="J161" i="2"/>
  <c r="I161" i="2"/>
  <c r="I160" i="2"/>
  <c r="I159" i="2"/>
  <c r="J158" i="2"/>
  <c r="I158" i="2"/>
  <c r="J157" i="2"/>
  <c r="I157" i="2"/>
  <c r="I156" i="2"/>
  <c r="J155" i="2"/>
  <c r="I155" i="2"/>
  <c r="J154" i="2"/>
  <c r="I154" i="2"/>
  <c r="I153" i="2"/>
  <c r="I152" i="2"/>
  <c r="J151" i="2"/>
  <c r="I151" i="2"/>
  <c r="I149" i="2"/>
  <c r="J148" i="2"/>
  <c r="I148" i="2"/>
  <c r="J147" i="2"/>
  <c r="I147" i="2"/>
  <c r="I146" i="2"/>
  <c r="J145" i="2"/>
  <c r="I145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I137" i="2"/>
  <c r="J136" i="2"/>
  <c r="I136" i="2"/>
  <c r="J135" i="2"/>
  <c r="I135" i="2"/>
  <c r="J134" i="2"/>
  <c r="I134" i="2"/>
  <c r="I133" i="2"/>
  <c r="I132" i="2"/>
  <c r="I131" i="2"/>
  <c r="I130" i="2"/>
  <c r="J129" i="2"/>
  <c r="I129" i="2"/>
  <c r="I128" i="2"/>
  <c r="J127" i="2"/>
  <c r="I127" i="2"/>
  <c r="J126" i="2"/>
  <c r="I126" i="2"/>
  <c r="J125" i="2"/>
  <c r="I125" i="2"/>
  <c r="J124" i="2"/>
  <c r="I124" i="2"/>
  <c r="I123" i="2"/>
  <c r="I122" i="2"/>
  <c r="I121" i="2"/>
  <c r="I120" i="2"/>
  <c r="I119" i="2"/>
  <c r="J118" i="2"/>
  <c r="I118" i="2"/>
  <c r="I117" i="2"/>
  <c r="I116" i="2"/>
  <c r="J115" i="2"/>
  <c r="I115" i="2"/>
  <c r="I114" i="2"/>
  <c r="I113" i="2"/>
  <c r="I112" i="2"/>
  <c r="J111" i="2"/>
  <c r="I111" i="2"/>
  <c r="I110" i="2"/>
  <c r="I109" i="2"/>
  <c r="J108" i="2"/>
  <c r="I108" i="2"/>
  <c r="I107" i="2"/>
  <c r="J106" i="2"/>
  <c r="I106" i="2"/>
  <c r="J105" i="2"/>
  <c r="I105" i="2"/>
  <c r="J104" i="2"/>
  <c r="I104" i="2"/>
  <c r="J103" i="2"/>
  <c r="I103" i="2"/>
  <c r="J102" i="2"/>
  <c r="I102" i="2"/>
  <c r="I101" i="2"/>
  <c r="J100" i="2"/>
  <c r="I100" i="2"/>
  <c r="J99" i="2"/>
  <c r="I99" i="2"/>
  <c r="I98" i="2"/>
  <c r="J97" i="2"/>
  <c r="I97" i="2"/>
  <c r="J96" i="2"/>
  <c r="I96" i="2"/>
  <c r="I95" i="2"/>
  <c r="I94" i="2"/>
  <c r="J93" i="2"/>
  <c r="I93" i="2"/>
  <c r="J92" i="2"/>
  <c r="I92" i="2"/>
  <c r="I91" i="2"/>
  <c r="I90" i="2"/>
  <c r="J89" i="2"/>
  <c r="I89" i="2"/>
  <c r="I88" i="2"/>
  <c r="I87" i="2"/>
  <c r="I86" i="2"/>
  <c r="J85" i="2"/>
  <c r="I85" i="2"/>
  <c r="I84" i="2"/>
  <c r="I83" i="2"/>
  <c r="I82" i="2"/>
  <c r="I81" i="2"/>
  <c r="I80" i="2"/>
  <c r="I79" i="2"/>
  <c r="I78" i="2"/>
  <c r="J77" i="2"/>
  <c r="I77" i="2"/>
  <c r="I76" i="2"/>
  <c r="I75" i="2"/>
  <c r="I74" i="2"/>
  <c r="J73" i="2"/>
  <c r="I73" i="2"/>
  <c r="I72" i="2"/>
  <c r="I71" i="2"/>
  <c r="I70" i="2"/>
  <c r="I69" i="2"/>
  <c r="I68" i="2"/>
  <c r="I67" i="2"/>
  <c r="I66" i="2"/>
  <c r="I65" i="2"/>
  <c r="I64" i="2"/>
  <c r="I63" i="2"/>
  <c r="I62" i="2"/>
  <c r="J61" i="2"/>
  <c r="I61" i="2"/>
  <c r="I59" i="2"/>
  <c r="I58" i="2"/>
  <c r="J57" i="2"/>
  <c r="I57" i="2"/>
  <c r="I56" i="2"/>
  <c r="J55" i="2"/>
  <c r="I55" i="2"/>
  <c r="I54" i="2"/>
  <c r="I53" i="2"/>
  <c r="I52" i="2"/>
  <c r="I51" i="2"/>
  <c r="I50" i="2"/>
  <c r="J49" i="2"/>
  <c r="I49" i="2"/>
  <c r="I48" i="2"/>
  <c r="J47" i="2"/>
  <c r="I47" i="2"/>
  <c r="J46" i="2"/>
  <c r="I46" i="2"/>
  <c r="J45" i="2"/>
  <c r="I45" i="2"/>
  <c r="I44" i="2"/>
  <c r="I43" i="2"/>
  <c r="I42" i="2"/>
  <c r="J41" i="2"/>
  <c r="I41" i="2"/>
  <c r="I40" i="2"/>
  <c r="J39" i="2"/>
  <c r="I39" i="2"/>
  <c r="I38" i="2"/>
  <c r="I37" i="2"/>
  <c r="J36" i="2"/>
  <c r="I36" i="2"/>
  <c r="I35" i="2"/>
  <c r="J34" i="2"/>
  <c r="I34" i="2"/>
  <c r="I33" i="2"/>
  <c r="I32" i="2"/>
  <c r="I31" i="2"/>
  <c r="I30" i="2"/>
  <c r="I29" i="2"/>
  <c r="I28" i="2"/>
  <c r="I27" i="2"/>
  <c r="I26" i="2"/>
  <c r="J25" i="2"/>
  <c r="I25" i="2"/>
  <c r="J24" i="2"/>
  <c r="I24" i="2"/>
  <c r="J23" i="2"/>
  <c r="I23" i="2"/>
  <c r="J22" i="2"/>
  <c r="I22" i="2"/>
  <c r="J21" i="2"/>
  <c r="I21" i="2"/>
  <c r="I20" i="2"/>
  <c r="I19" i="2"/>
  <c r="I18" i="2"/>
  <c r="I17" i="2"/>
  <c r="I16" i="2"/>
  <c r="I15" i="2"/>
  <c r="J14" i="2"/>
  <c r="I14" i="2"/>
  <c r="J13" i="2"/>
  <c r="I13" i="2"/>
  <c r="I12" i="2"/>
  <c r="J11" i="2"/>
  <c r="I11" i="2"/>
  <c r="I10" i="2"/>
  <c r="I9" i="2"/>
  <c r="I8" i="2"/>
  <c r="I7" i="2"/>
  <c r="J6" i="2"/>
  <c r="I6" i="2"/>
  <c r="I5" i="2"/>
  <c r="I4" i="2"/>
  <c r="J3" i="2"/>
  <c r="I3" i="2"/>
  <c r="I2" i="2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B17" i="1" s="1"/>
  <c r="M7" i="1"/>
  <c r="J7" i="1"/>
  <c r="G7" i="1"/>
  <c r="D7" i="1"/>
  <c r="A7" i="1"/>
  <c r="C17" i="1" l="1"/>
  <c r="E17" i="1"/>
  <c r="D17" i="1"/>
  <c r="F17" i="1"/>
</calcChain>
</file>

<file path=xl/sharedStrings.xml><?xml version="1.0" encoding="utf-8"?>
<sst xmlns="http://schemas.openxmlformats.org/spreadsheetml/2006/main" count="3763" uniqueCount="1884">
  <si>
    <t>대전 식당 후보 검토 현황</t>
  </si>
  <si>
    <t>추천 점수는 검토 순서입니다. 네이버 지도와 최근 블로그를 확인한 뒤 후보 검토 시트의 상태를 변경하세요.</t>
  </si>
  <si>
    <t>미검토</t>
  </si>
  <si>
    <t>승인</t>
  </si>
  <si>
    <t>보류</t>
  </si>
  <si>
    <t>제외</t>
  </si>
  <si>
    <t>전체 후보</t>
  </si>
  <si>
    <t>구</t>
  </si>
  <si>
    <t>전체</t>
  </si>
  <si>
    <t>대덕구</t>
  </si>
  <si>
    <t>동구</t>
  </si>
  <si>
    <t>서구</t>
  </si>
  <si>
    <t>유성구</t>
  </si>
  <si>
    <t>중구</t>
  </si>
  <si>
    <t>합계</t>
  </si>
  <si>
    <t>검토 상태
review_status</t>
  </si>
  <si>
    <t>구
district</t>
  </si>
  <si>
    <t>상호명
name</t>
  </si>
  <si>
    <t>업종
category</t>
  </si>
  <si>
    <t>추천 점수
recommendation_score</t>
  </si>
  <si>
    <t>추천 이유
recommendation_reason</t>
  </si>
  <si>
    <t>지번 주소
address</t>
  </si>
  <si>
    <t>도로명 주소
road_address</t>
  </si>
  <si>
    <t>블로그 확인
blog_search_url</t>
  </si>
  <si>
    <t>업체 링크
naver_link</t>
  </si>
  <si>
    <t>중복 가능성
possible_duplicate</t>
  </si>
  <si>
    <t>제외 사유
reject_reason</t>
  </si>
  <si>
    <t>최근 게시일
latest_post_date</t>
  </si>
  <si>
    <t>최근 글 수
recent_blog_count</t>
  </si>
  <si>
    <t>블로거 수
distinct_blogger_count</t>
  </si>
  <si>
    <t>검색 결과 수
blog_result_count</t>
  </si>
  <si>
    <t>지역 노출 수
local_hit_count</t>
  </si>
  <si>
    <t>리뷰순 노출 수
comment_sort_hit_count</t>
  </si>
  <si>
    <t>발견 검색어
matched_queries</t>
  </si>
  <si>
    <t>위도
latitude</t>
  </si>
  <si>
    <t>경도
longitude</t>
  </si>
  <si>
    <t>pending</t>
  </si>
  <si>
    <t>맛집부추해물칼국수</t>
  </si>
  <si>
    <t>한식&gt;칼국수,만두</t>
  </si>
  <si>
    <t>지역성: 칼국수; 최근 12개월 블로그 100건</t>
  </si>
  <si>
    <t>대전광역시 대덕구 신탄진동 139-24</t>
  </si>
  <si>
    <t>대전광역시 대덕구 신탄진로804번길 31</t>
  </si>
  <si>
    <t>대덕구 칼국수 | 대덕구 해산물 | 신탄진 맛집 | 신탄진 칼국수 | 신탄진 한식 | 신탄진 해산물</t>
  </si>
  <si>
    <t>교동면옥 대전중리점</t>
  </si>
  <si>
    <t>한식&gt;냉면</t>
  </si>
  <si>
    <t>지역성: 대전; 최근 12개월 블로그 100건</t>
  </si>
  <si>
    <t>대전광역시 대덕구 중리동 230-1 1층 교동면옥 대전중리점</t>
  </si>
  <si>
    <t>대전광역시 대덕구 한밭대로 1100 1층 교동면옥 대전중리점</t>
  </si>
  <si>
    <t>대덕구 국밥 | 대덕구 냉면 | 대덕구 맛집 | 대덕구 한식</t>
  </si>
  <si>
    <t>우림칼국수 신탄진점</t>
  </si>
  <si>
    <t>음식점&gt;한식&gt;칼국수,만두</t>
  </si>
  <si>
    <t>대전광역시 대덕구 신탄진동 155-15 우림칼국수 신탄진점</t>
  </si>
  <si>
    <t>대전광역시 대덕구 신탄진동로 16-2 우림칼국수 신탄진점</t>
  </si>
  <si>
    <t>대덕구 냉면 | 대덕구 칼국수 | 신탄진 냉면 | 신탄진 칼국수</t>
  </si>
  <si>
    <t>오문창순대국밥</t>
  </si>
  <si>
    <t>한식&gt;순대,순댓국</t>
  </si>
  <si>
    <t>최근 12개월 블로그 100건</t>
  </si>
  <si>
    <t>대전광역시 대덕구 중리동 203-2</t>
  </si>
  <si>
    <t>대전광역시 대덕구 한밭대로 1153</t>
  </si>
  <si>
    <t>대덕구 고기 | 대덕구 국밥 | 대덕구 맛집 | 대덕구 한식</t>
  </si>
  <si>
    <t>공주쌍신집칼국수 대청댐점</t>
  </si>
  <si>
    <t>대전광역시 대덕구 미호동 90-2 1층</t>
  </si>
  <si>
    <t>대전광역시 대덕구 대청로 572 1층</t>
  </si>
  <si>
    <t>대덕구 맛집 | 대덕구 칼국수 | 대덕구 한식</t>
  </si>
  <si>
    <t>형제횟집</t>
  </si>
  <si>
    <t>한식&gt;생선회</t>
  </si>
  <si>
    <t>최근 12개월 블로그 76건</t>
  </si>
  <si>
    <t>대전광역시 대덕구 중리동 372-3 형제횟집</t>
  </si>
  <si>
    <t>대전광역시 대덕구 중리로76번길 22 형제횟집</t>
  </si>
  <si>
    <t>대덕구 맛집 | 대덕구 한식 | 대덕구 해산물</t>
  </si>
  <si>
    <t>나래원</t>
  </si>
  <si>
    <t>음식점&gt;한식</t>
  </si>
  <si>
    <t>최근 12개월 블로그 36건</t>
  </si>
  <si>
    <t>대전광역시 대덕구 비래동 139-10</t>
  </si>
  <si>
    <t>대전광역시 대덕구 비래동로16번길 13</t>
  </si>
  <si>
    <t>대덕구 삼계탕 | 비래동 한식</t>
  </si>
  <si>
    <t>백마강참숯민물장어</t>
  </si>
  <si>
    <t>한식&gt;장어,먹장어요리</t>
  </si>
  <si>
    <t>최근 12개월 블로그 31건</t>
  </si>
  <si>
    <t>대전광역시 대덕구 비래동 561-1</t>
  </si>
  <si>
    <t>대전광역시 대덕구 동서대로 1752</t>
  </si>
  <si>
    <t>비래동 맛집 | 비래동 한식</t>
  </si>
  <si>
    <t>옥천순대매운족발</t>
  </si>
  <si>
    <t>대전광역시 대덕구 송촌동 565-31</t>
  </si>
  <si>
    <t>대전광역시 대덕구 송촌로 9</t>
  </si>
  <si>
    <t>대덕구 고기 | 대덕구 국밥</t>
  </si>
  <si>
    <t>양평칼국수콩국수 본점</t>
  </si>
  <si>
    <t>지역성: 본점, 칼국수; 최근 12개월 블로그 100건</t>
  </si>
  <si>
    <t>대전광역시 대덕구 중리동 166-10</t>
  </si>
  <si>
    <t>대전광역시 대덕구 중리남로28번길 1</t>
  </si>
  <si>
    <t>대덕구 칼국수</t>
  </si>
  <si>
    <t>양평칼국수</t>
  </si>
  <si>
    <t>대전광역시 대덕구 덕암동 3-24</t>
  </si>
  <si>
    <t>대전광역시 대덕구 덕암로265번길 105</t>
  </si>
  <si>
    <t>대덕구 칼국수 | 신탄진 칼국수 | 신탄진 한식</t>
  </si>
  <si>
    <t>만나숯불구이 중리동본점</t>
  </si>
  <si>
    <t>한식&gt;육류,고기요리</t>
  </si>
  <si>
    <t>지역성: 본점; 최근 12개월 블로그 100건</t>
  </si>
  <si>
    <t>대전광역시 대덕구 중리동 363-33 1층</t>
  </si>
  <si>
    <t>대전광역시 대덕구 중리로75번길 20 1층</t>
  </si>
  <si>
    <t>대덕구 노포</t>
  </si>
  <si>
    <t>성채숯불구이 신탄진</t>
  </si>
  <si>
    <t>최근 12개월 블로그 74건</t>
  </si>
  <si>
    <t>대전광역시 대덕구 신탄진동 121-1 1층</t>
  </si>
  <si>
    <t>대전광역시 대덕구 대청로 8 1층</t>
  </si>
  <si>
    <t>대덕구 고기 | 신탄진 고기 | 신탄진 맛집 | 신탄진 한식</t>
  </si>
  <si>
    <t>연탄구이</t>
  </si>
  <si>
    <t>대전광역시 대덕구 오정동 445-14</t>
  </si>
  <si>
    <t>대전광역시 대덕구 한남로88번길 6</t>
  </si>
  <si>
    <t>대덕구 고기 | 대덕구 노포</t>
  </si>
  <si>
    <t>원조설악추어탕삼계탕</t>
  </si>
  <si>
    <t>대전광역시 대덕구 덕암동 8-15 원조설악추어탕삼계탕</t>
  </si>
  <si>
    <t>대전광역시 대덕구 덕암북로48번길 9 원조설악추어탕삼계탕</t>
  </si>
  <si>
    <t>대덕구 삼계탕 | 신탄진 삼계탕</t>
  </si>
  <si>
    <t>식당가 신탄진휴게소 서울방향</t>
  </si>
  <si>
    <t>대전광역시 대덕구 상서동 236-1</t>
  </si>
  <si>
    <t>대전광역시 대덕구 산업단지로 27</t>
  </si>
  <si>
    <t>대덕구 국밥 | 신탄진 국밥</t>
  </si>
  <si>
    <t>장수촌 중리점</t>
  </si>
  <si>
    <t>한식&gt;백숙,삼계탕</t>
  </si>
  <si>
    <t>최근 12개월 블로그 58건</t>
  </si>
  <si>
    <t>대전광역시 대덕구 중리동 499-4</t>
  </si>
  <si>
    <t>대전광역시 대덕구 송촌북로5번길 10-11</t>
  </si>
  <si>
    <t>대덕구 삼계탕 | 대덕구 한식</t>
  </si>
  <si>
    <t>신탄짬뽕 대전신탄진본점</t>
  </si>
  <si>
    <t>중식&gt;중식당</t>
  </si>
  <si>
    <t>지역성: 본점, 대전; 최근 12개월 블로그 100건</t>
  </si>
  <si>
    <t>대전광역시 대덕구 신탄진동 121-25 1층</t>
  </si>
  <si>
    <t>대전광역시 대덕구 신탄진동로7번길 74 1층</t>
  </si>
  <si>
    <t>신탄진 중식</t>
  </si>
  <si>
    <t>왕실전골칼국수 선비마을점</t>
  </si>
  <si>
    <t>지역성: 칼국수; 최근 12개월 블로그 23건</t>
  </si>
  <si>
    <t>대전광역시 대덕구 송촌동 482-1</t>
  </si>
  <si>
    <t>대전광역시 대덕구 계족산로36번길 67</t>
  </si>
  <si>
    <t>대덕구 두부두루치기</t>
  </si>
  <si>
    <t>샤브마니아 대전송촌점</t>
  </si>
  <si>
    <t>음식점&gt;일식&gt;샤브샤브</t>
  </si>
  <si>
    <t>대전광역시 대덕구 송촌동 447-4 1층 샤브마니아 송촌점</t>
  </si>
  <si>
    <t>대전광역시 대덕구 계족산로81번길 92 1층 샤브마니아 송촌점</t>
  </si>
  <si>
    <t>대덕구 일식</t>
  </si>
  <si>
    <t>스텔라떡볶이 대전신탄진점</t>
  </si>
  <si>
    <t>음식점&gt;분식</t>
  </si>
  <si>
    <t>대전광역시 대덕구 신탄진동 145-6 1층</t>
  </si>
  <si>
    <t>대전광역시 대덕구 신탄진로 815 1층</t>
  </si>
  <si>
    <t>대덕구 분식 | 신탄진 분식</t>
  </si>
  <si>
    <t>대청골순대국밥전문점</t>
  </si>
  <si>
    <t>대전광역시 대덕구 신탄진동 121-6</t>
  </si>
  <si>
    <t>대전광역시 대덕구 대청로 10</t>
  </si>
  <si>
    <t>신탄진 국밥</t>
  </si>
  <si>
    <t>손의손 송촌점</t>
  </si>
  <si>
    <t>해물,생선요리&gt;주꾸미요리</t>
  </si>
  <si>
    <t>최근 12개월 블로그 57건</t>
  </si>
  <si>
    <t>대전광역시 대덕구 송촌동 459-4 2층 201호</t>
  </si>
  <si>
    <t>대전광역시 대덕구 계족산로81번길 64 2층 201호</t>
  </si>
  <si>
    <t>대덕구 냉면 | 대덕구 해산물</t>
  </si>
  <si>
    <t>얌샘김밥 신탄진점</t>
  </si>
  <si>
    <t>최근 12개월 블로그 9건</t>
  </si>
  <si>
    <t>대전광역시 대덕구 신탄진동 143-16 1층</t>
  </si>
  <si>
    <t>대전광역시 대덕구 신탄진로 802 1층</t>
  </si>
  <si>
    <t>명가네보쌈칼국수</t>
  </si>
  <si>
    <t>지역성: 칼국수; 최근 12개월 블로그 22건</t>
  </si>
  <si>
    <t>대전광역시 대덕구 비래동 138-1</t>
  </si>
  <si>
    <t>대전광역시 대덕구 비래동로 30</t>
  </si>
  <si>
    <t>비래동 한식</t>
  </si>
  <si>
    <t>영화반점</t>
  </si>
  <si>
    <t>최근 12개월 블로그 10건</t>
  </si>
  <si>
    <t>대전광역시 대덕구 신탄진동 139-17</t>
  </si>
  <si>
    <t>대전광역시 대덕구 신탄진동로23번길 46</t>
  </si>
  <si>
    <t>대덕구 중식 | 신탄진 중식 | 신탄진 해산물</t>
  </si>
  <si>
    <t>유가옥 설렁탕 본점</t>
  </si>
  <si>
    <t>한식&gt;곰탕,설렁탕</t>
  </si>
  <si>
    <t>지역성: 본점; 최근 12개월 블로그 54건</t>
  </si>
  <si>
    <t>대전광역시 대덕구 중리동 202-1</t>
  </si>
  <si>
    <t>대전광역시 대덕구 한밭대로 1161</t>
  </si>
  <si>
    <t>대덕구 냉면</t>
  </si>
  <si>
    <t>제주은희네해장국 대전신탄진점</t>
  </si>
  <si>
    <t>한식&gt;해장국</t>
  </si>
  <si>
    <t>지역성: 대전; 최근 12개월 블로그 61건</t>
  </si>
  <si>
    <t>대전광역시 대덕구 상서동 396-3 나동 1층</t>
  </si>
  <si>
    <t>대전광역시 대덕구 신탄진로 490 나동 1층</t>
  </si>
  <si>
    <t>짬뽕지존 신탄진점</t>
  </si>
  <si>
    <t>음식점&gt;중식당</t>
  </si>
  <si>
    <t>대전광역시 대덕구 상서동 282 1,2층</t>
  </si>
  <si>
    <t>대전광역시 대덕구 신탄진로 578 1,2층</t>
  </si>
  <si>
    <t>대덕구 중식 | 신탄진 중식</t>
  </si>
  <si>
    <t>한밭신화수산</t>
  </si>
  <si>
    <t>대전광역시 대덕구 오정동 736</t>
  </si>
  <si>
    <t>대전광역시 대덕구 대전천북로 350</t>
  </si>
  <si>
    <t>대덕구 해산물</t>
  </si>
  <si>
    <t>김밥천국</t>
  </si>
  <si>
    <t>최근 12개월 블로그 16건</t>
  </si>
  <si>
    <t>대전광역시 대덕구 석봉동 309-11 김밥천국</t>
  </si>
  <si>
    <t>대전광역시 대덕구 대덕대로 1554 김밥천국</t>
  </si>
  <si>
    <t>신탄진 분식</t>
  </si>
  <si>
    <t>동죽칼국수</t>
  </si>
  <si>
    <t>지역성: 칼국수; 최근 12개월 블로그 96건</t>
  </si>
  <si>
    <t>대전광역시 대덕구 목상동 148-6 동죽칼국수</t>
  </si>
  <si>
    <t>대전광역시 대덕구 대덕대로1458번길 23 동죽칼국수</t>
  </si>
  <si>
    <t>신탄진 칼국수</t>
  </si>
  <si>
    <t>청년다방 대전송촌점</t>
  </si>
  <si>
    <t>대전광역시 대덕구 송촌동 449-6</t>
  </si>
  <si>
    <t>대전광역시 대덕구 송촌북로36번길 11</t>
  </si>
  <si>
    <t>대덕구 분식</t>
  </si>
  <si>
    <t>홍굴이 부추손칼국수</t>
  </si>
  <si>
    <t>대전광역시 대덕구 송촌동 503-7</t>
  </si>
  <si>
    <t>대전광역시 대덕구 선비마을로5번길 3</t>
  </si>
  <si>
    <t>황금칼국수</t>
  </si>
  <si>
    <t>대전광역시 대덕구 읍내동 327-3 황금칼국수</t>
  </si>
  <si>
    <t>대전광역시 대덕구 대전로 1357 황금칼국수</t>
  </si>
  <si>
    <t>일품돼지국밥 대전IC점</t>
  </si>
  <si>
    <t>한식&gt;국밥</t>
  </si>
  <si>
    <t>대전광역시 대덕구 비래동 557-1 1층 일품돼지국밥 대전IC점</t>
  </si>
  <si>
    <t>대전광역시 대덕구 동서대로 1770 1층 일품돼지국밥 대전IC점</t>
  </si>
  <si>
    <t>대덕구 국밥</t>
  </si>
  <si>
    <t>포대포소곱창구이</t>
  </si>
  <si>
    <t>한식&gt;곱창,막창,양</t>
  </si>
  <si>
    <t>대전광역시 대덕구 송촌동 548-20</t>
  </si>
  <si>
    <t>대전광역시 대덕구 선비마을로 22</t>
  </si>
  <si>
    <t>대덕구 고기</t>
  </si>
  <si>
    <t>미카도스시 대전신탄진점</t>
  </si>
  <si>
    <t>음식점&gt;일식&gt;초밥,롤</t>
  </si>
  <si>
    <t>지역성: 대전; 최근 12개월 블로그 65건</t>
  </si>
  <si>
    <t>대전광역시 대덕구 신탄진동 121-33 103호</t>
  </si>
  <si>
    <t>대전광역시 대덕구 대청로 12 103호</t>
  </si>
  <si>
    <t>신탄진 일식</t>
  </si>
  <si>
    <t>상하이양꼬치</t>
  </si>
  <si>
    <t>중식&gt;양꼬치</t>
  </si>
  <si>
    <t>대전광역시 대덕구 송촌동 456-12</t>
  </si>
  <si>
    <t>대전광역시 대덕구 송촌북로16번길 43</t>
  </si>
  <si>
    <t>대덕구 중식</t>
  </si>
  <si>
    <t>선양갈비</t>
  </si>
  <si>
    <t>한식&gt;돼지고기구이</t>
  </si>
  <si>
    <t>대전광역시 대덕구 송촌동 473-3 1층</t>
  </si>
  <si>
    <t>대전광역시 대덕구 송촌북로4번길 41-19 1층</t>
  </si>
  <si>
    <t>대덕구 맛집 | 대덕구 한식</t>
  </si>
  <si>
    <t>특벼리각벼리 양평해장국</t>
  </si>
  <si>
    <t>최근 12개월 블로그 27건</t>
  </si>
  <si>
    <t>대전광역시 대덕구 신탄진동 156-1 1층</t>
  </si>
  <si>
    <t>대전광역시 대덕구 신탄진동로 24 1층</t>
  </si>
  <si>
    <t>신탄진 삼계탕</t>
  </si>
  <si>
    <t>더구</t>
  </si>
  <si>
    <t>대전광역시 대덕구 목상동 867-3</t>
  </si>
  <si>
    <t>대전광역시 대덕구 대덕대로1448번길 123</t>
  </si>
  <si>
    <t>망골고개식당</t>
  </si>
  <si>
    <t>지역성: 칼국수; 최근 12개월 블로그 8건</t>
  </si>
  <si>
    <t>대전광역시 대덕구 석봉동 309-23</t>
  </si>
  <si>
    <t>대전광역시 대덕구 석봉로3번길 41</t>
  </si>
  <si>
    <t>석봉튀김 떡볶이 신탄진점</t>
  </si>
  <si>
    <t>분식&gt;종합분식</t>
  </si>
  <si>
    <t>최근 12개월 블로그 71건</t>
  </si>
  <si>
    <t>대전광역시 대덕구 석봉동 188-19 101호</t>
  </si>
  <si>
    <t>대전광역시 대덕구 석봉로37번길 18 101호</t>
  </si>
  <si>
    <t>신탄면옥</t>
  </si>
  <si>
    <t>최근 12개월 블로그 89건</t>
  </si>
  <si>
    <t>대전광역시 대덕구 덕암동 48-10</t>
  </si>
  <si>
    <t>대전광역시 대덕구 덕암북로104번길 74</t>
  </si>
  <si>
    <t>대덕구 냉면 | 신탄진 냉면</t>
  </si>
  <si>
    <t>완미족발 송촌점</t>
  </si>
  <si>
    <t>음식점&gt;한식&gt;육류,고기요리&gt;족발,보쌈</t>
  </si>
  <si>
    <t>최근 12개월 블로그 17건</t>
  </si>
  <si>
    <t>대전광역시 대덕구 송촌동 456-6 1층</t>
  </si>
  <si>
    <t>대전광역시 대덕구 송촌북로20번길 38 1층</t>
  </si>
  <si>
    <t>왕손곱창</t>
  </si>
  <si>
    <t>최근 12개월 블로그 70건</t>
  </si>
  <si>
    <t>대전광역시 대덕구 대화동 40-85 왕손곱창</t>
  </si>
  <si>
    <t>대전광역시 대덕구 대화로 69 왕손곱창</t>
  </si>
  <si>
    <t>이종구항아리짬뽕 오정점</t>
  </si>
  <si>
    <t>최근 12개월 블로그 35건</t>
  </si>
  <si>
    <t>대전광역시 대덕구 오정동 67-25</t>
  </si>
  <si>
    <t>대전광역시 대덕구 한밭대로1006번길 11</t>
  </si>
  <si>
    <t>중부회수산</t>
  </si>
  <si>
    <t>쇼핑,유통&gt;수산물</t>
  </si>
  <si>
    <t>대전광역시 대덕구 중리동 126-1</t>
  </si>
  <si>
    <t>대전광역시 대덕구 계족로 544</t>
  </si>
  <si>
    <t>청기와냉면 본점</t>
  </si>
  <si>
    <t>지역성: 본점; 최근 12개월 블로그 25건</t>
  </si>
  <si>
    <t>대전광역시 대덕구 상서동 279 . 1층</t>
  </si>
  <si>
    <t>대전광역시 대덕구 신탄진로567번길 2 . 1층</t>
  </si>
  <si>
    <t>신탄진 냉면</t>
  </si>
  <si>
    <t>해물가</t>
  </si>
  <si>
    <t>한식&gt;해물,생선요리</t>
  </si>
  <si>
    <t>최근 12개월 블로그 44건</t>
  </si>
  <si>
    <t>대전광역시 대덕구 목상동 150-9 1층</t>
  </si>
  <si>
    <t>대전광역시 대덕구 대덕대로1458번길 35 1층</t>
  </si>
  <si>
    <t>대덕구 해산물 | 신탄진 해산물</t>
  </si>
  <si>
    <t>다해활어시장식당</t>
  </si>
  <si>
    <t>대전광역시 대덕구 석봉동 322-1</t>
  </si>
  <si>
    <t>대전광역시 대덕구 덕암북로 85 (석봉동)</t>
  </si>
  <si>
    <t>신탄진 해산물</t>
  </si>
  <si>
    <t>불티나만두찐빵</t>
  </si>
  <si>
    <t>최근 12개월 블로그 12건</t>
  </si>
  <si>
    <t>대전광역시 대덕구 중리동 372-2</t>
  </si>
  <si>
    <t>대전광역시 대덕구 중리로76번길 18</t>
  </si>
  <si>
    <t>은혜식당</t>
  </si>
  <si>
    <t>대전광역시 대덕구 중리동 204-7 1층 은혜식당</t>
  </si>
  <si>
    <t>대전광역시 대덕구 한밭대로1159번길 11 1층 은혜식당</t>
  </si>
  <si>
    <t>장수촌 송촌점</t>
  </si>
  <si>
    <t>최근 12개월 블로그 28건</t>
  </si>
  <si>
    <t>대전광역시 대덕구 송촌동 499-8</t>
  </si>
  <si>
    <t>대전광역시 대덕구 동춘당로44번길 19</t>
  </si>
  <si>
    <t>대덕구 삼계탕</t>
  </si>
  <si>
    <t>준짬뽕</t>
  </si>
  <si>
    <t>최근 12개월 블로그 25건</t>
  </si>
  <si>
    <t>대전광역시 대덕구 덕암동 70-3 1층</t>
  </si>
  <si>
    <t>대전광역시 대덕구 덕암로125번안길 60 1층</t>
  </si>
  <si>
    <t>킴스돈까스</t>
  </si>
  <si>
    <t>음식점&gt;일식&gt;돈가스</t>
  </si>
  <si>
    <t>최근 12개월 블로그 33건</t>
  </si>
  <si>
    <t>대전광역시 대덕구 오정동 172-5</t>
  </si>
  <si>
    <t>대전광역시 대덕구 한남로 61</t>
  </si>
  <si>
    <t>혜성옥</t>
  </si>
  <si>
    <t>최근 12개월 블로그 42건</t>
  </si>
  <si>
    <t>대전광역시 대덕구 중리동 410-3</t>
  </si>
  <si>
    <t>대전광역시 대덕구 한밭대로 1147</t>
  </si>
  <si>
    <t>대왕산삼백숙농원 대청댐점 삼계탕 갈비탕 오리 닭 백숙</t>
  </si>
  <si>
    <t>대전광역시 대덕구 미호동 268-3</t>
  </si>
  <si>
    <t>대전광역시 대덕구 대청로 516</t>
  </si>
  <si>
    <t>HYPERLINK is not implemented. linkLocation=https://search.naver.com/search.naver?where=blog&amp;query=%EB%8C%80%EC%99%95%EC%82%B0%EC%82%BC%EB%B0%B1%EC%88%99%EB%86%8D%EC%9B%90+%EB%8C%80%EC%B2%AD%EB%8C%90%EC%A0%90+%EC%82%BC%EA%B3%84%ED%83%95+%EA%B0%88%EB%B9%84%ED%83%95+%EC%98%A4%EB%A6%AC+%EB%8B%AD+%EB%B0%B1%EC%88%99+%EB%8C%80%EB%8D%95%EA%B5%AC, friendlyName=블로그 보기</t>
  </si>
  <si>
    <t>땅스부대찌개 비래점</t>
  </si>
  <si>
    <t>한식&gt;찌개,전골</t>
  </si>
  <si>
    <t>대전광역시 대덕구 비래동 139-1</t>
  </si>
  <si>
    <t>대전광역시 대덕구 비래동로 20</t>
  </si>
  <si>
    <t>샤브쌈주머니 오정점</t>
  </si>
  <si>
    <t>최근 12개월 블로그 23건</t>
  </si>
  <si>
    <t>대전광역시 대덕구 오정동 65-8 2층 샤브쌈주머니 오정점</t>
  </si>
  <si>
    <t>대전광역시 대덕구 한밭대로 1048 2층 샤브쌈주머니 오정점</t>
  </si>
  <si>
    <t>순대폭식소</t>
  </si>
  <si>
    <t>대전광역시 대덕구 덕암동 65-8 1층</t>
  </si>
  <si>
    <t>대전광역시 대덕구 덕암로125번안길 94 1층</t>
  </si>
  <si>
    <t>신탄진 맛집 | 신탄진 한식</t>
  </si>
  <si>
    <t>스시류</t>
  </si>
  <si>
    <t>최근 12개월 블로그 20건</t>
  </si>
  <si>
    <t>대전광역시 대덕구 송촌동 467-11</t>
  </si>
  <si>
    <t>대전광역시 대덕구 송촌북로12번길 11</t>
  </si>
  <si>
    <t>쯔보</t>
  </si>
  <si>
    <t>음식점&gt;아시아음식</t>
  </si>
  <si>
    <t>대전광역시 대덕구 오정동 175-22 1층</t>
  </si>
  <si>
    <t>대전광역시 대덕구 한남로12번길 47 1층</t>
  </si>
  <si>
    <t>김밥신화</t>
  </si>
  <si>
    <t>분식&gt;김밥</t>
  </si>
  <si>
    <t>대전광역시 대덕구 중리동 384-5</t>
  </si>
  <si>
    <t>대전광역시 대덕구 중리로 51</t>
  </si>
  <si>
    <t>양지면옥</t>
  </si>
  <si>
    <t>대전광역시 대덕구 중리동 200-1 1층</t>
  </si>
  <si>
    <t>대전광역시 대덕구 중리동로17번길 39-1 1층</t>
  </si>
  <si>
    <t>왕짬뽕순두부</t>
  </si>
  <si>
    <t>대전광역시 대덕구 비래동 125-12 1층 왕짬뽕순두부</t>
  </si>
  <si>
    <t>대전광역시 대덕구 비래서로 25 1층 왕짬뽕순두부</t>
  </si>
  <si>
    <t>비래동 맛집</t>
  </si>
  <si>
    <t>우리손칼국수</t>
  </si>
  <si>
    <t>지역성: 칼국수; 최근 12개월 블로그 5건</t>
  </si>
  <si>
    <t>대전광역시 대덕구 송촌동 506-2</t>
  </si>
  <si>
    <t>대전광역시 대덕구 선비마을로 9</t>
  </si>
  <si>
    <t>태안반도 포항물회</t>
  </si>
  <si>
    <t>음식점&gt;일식&gt;일식당</t>
  </si>
  <si>
    <t>최근 12개월 블로그 78건</t>
  </si>
  <si>
    <t>대전광역시 대덕구 중리동 198-9</t>
  </si>
  <si>
    <t>대전광역시 대덕구 중리동로3번길 22</t>
  </si>
  <si>
    <t>팔도한마당순대</t>
  </si>
  <si>
    <t>최근 12개월 블로그 81건</t>
  </si>
  <si>
    <t>대전광역시 대덕구 목상동 863-2 팔도한마당순대</t>
  </si>
  <si>
    <t>대전광역시 대덕구 대덕대로1448번길 73 팔도한마당순대</t>
  </si>
  <si>
    <t>금강옥천올갱이</t>
  </si>
  <si>
    <t>최근 12개월 블로그 48건</t>
  </si>
  <si>
    <t>대전광역시 대덕구 송촌동 565-5</t>
  </si>
  <si>
    <t>대전광역시 대덕구 동춘당로15번길 90</t>
  </si>
  <si>
    <t>미강손짜장</t>
  </si>
  <si>
    <t>최근 12개월 블로그 13건</t>
  </si>
  <si>
    <t>대전광역시 대덕구 덕암동 62-29</t>
  </si>
  <si>
    <t>대전광역시 대덕구 덕암로181번길 19</t>
  </si>
  <si>
    <t>부뜰생고기</t>
  </si>
  <si>
    <t>최근 12개월 블로그 66건</t>
  </si>
  <si>
    <t>대전광역시 대덕구 비래동 129-7 1층</t>
  </si>
  <si>
    <t>대전광역시 대덕구 비래동로31번길 6 1층 (비래동)</t>
  </si>
  <si>
    <t>수통골염소명가 중리직영점</t>
  </si>
  <si>
    <t>대전광역시 대덕구 중리동 368-23 수통골염소명가 중리직영점</t>
  </si>
  <si>
    <t>대전광역시 대덕구 중리로64번길 3 수통골염소명가 중리직영점</t>
  </si>
  <si>
    <t>청원삼계탕</t>
  </si>
  <si>
    <t>대전광역시 대덕구 중리동 389-1 1층</t>
  </si>
  <si>
    <t>대전광역시 대덕구 중리로44번길 16 1층</t>
  </si>
  <si>
    <t>청춘테라스</t>
  </si>
  <si>
    <t>술집&gt;요리주점</t>
  </si>
  <si>
    <t>대전광역시 대덕구 비래동 125-43 1층</t>
  </si>
  <si>
    <t>대전광역시 대덕구 비래서로 27 1층</t>
  </si>
  <si>
    <t>필짬뽕</t>
  </si>
  <si>
    <t>최근 12개월 블로그 26건</t>
  </si>
  <si>
    <t>대전광역시 대덕구 오정동 488-18 필짬뽕</t>
  </si>
  <si>
    <t>대전광역시 대덕구 한남로137번길 43 필짬뽕</t>
  </si>
  <si>
    <t>한성손짜장</t>
  </si>
  <si>
    <t>최근 12개월 블로그 85건</t>
  </si>
  <si>
    <t>대전광역시 대덕구 상서동 833-10</t>
  </si>
  <si>
    <t>대전광역시 대덕구 덕암로148번안길 24</t>
  </si>
  <si>
    <t>황해면옥</t>
  </si>
  <si>
    <t>대전광역시 대덕구 오정동 490-1</t>
  </si>
  <si>
    <t>대전광역시 대덕구 한남로149번길 1</t>
  </si>
  <si>
    <t>회포</t>
  </si>
  <si>
    <t>최근 12개월 블로그 46건</t>
  </si>
  <si>
    <t>대전광역시 대덕구 송촌동 453-7 1층</t>
  </si>
  <si>
    <t>대전광역시 대덕구 송촌북로20번길 21-5 1층</t>
  </si>
  <si>
    <t>가마솥해장국</t>
  </si>
  <si>
    <t>최근 12개월 블로그 21건</t>
  </si>
  <si>
    <t>대전광역시 대덕구 신일동 37-1</t>
  </si>
  <si>
    <t>대전광역시 대덕구 산업단지로87번길 13</t>
  </si>
  <si>
    <t>김관식추어명장</t>
  </si>
  <si>
    <t>최근 12개월 블로그 45건</t>
  </si>
  <si>
    <t>대전광역시 대덕구 상서동 349-1</t>
  </si>
  <si>
    <t>대전광역시 대덕구 신탄진로 512</t>
  </si>
  <si>
    <t>신탄진 한식</t>
  </si>
  <si>
    <t>대청하녹 신탄진점</t>
  </si>
  <si>
    <t>최근 12개월 블로그 43건</t>
  </si>
  <si>
    <t>대전광역시 대덕구 신탄진동 121-23 1층</t>
  </si>
  <si>
    <t>대전광역시 대덕구 신탄진동로7번길 78 1층</t>
  </si>
  <si>
    <t>신탄진 고기</t>
  </si>
  <si>
    <t>미가한우소머리국밥</t>
  </si>
  <si>
    <t>최근 12개월 블로그 59건</t>
  </si>
  <si>
    <t>대전광역시 대덕구 목상동 863-5 1층</t>
  </si>
  <si>
    <t>대전광역시 대덕구 대덕대로1448번길 81 1층</t>
  </si>
  <si>
    <t>샤브쌈주머니 송촌점</t>
  </si>
  <si>
    <t>대전광역시 대덕구 송촌동 475-5 1,2동 1층</t>
  </si>
  <si>
    <t>대전광역시 대덕구 계족산로81번길 9 1,2동 1층</t>
  </si>
  <si>
    <t>윤이네집밥</t>
  </si>
  <si>
    <t>최근 12개월 블로그 4건</t>
  </si>
  <si>
    <t>대전광역시 대덕구 중리동 99-1</t>
  </si>
  <si>
    <t>대전광역시 대덕구 계족산로5번길 54</t>
  </si>
  <si>
    <t>하르방대패삼겹</t>
  </si>
  <si>
    <t>대전광역시 대덕구 석봉동 182-19 1층</t>
  </si>
  <si>
    <t>대전광역시 대덕구 석봉로38번길 40 1층</t>
  </si>
  <si>
    <t>한양고깃집 신탄진점</t>
  </si>
  <si>
    <t>대전광역시 대덕구 석봉동 573-2 1층</t>
  </si>
  <si>
    <t>대전광역시 대덕구 대덕대로1585번길 16 1층</t>
  </si>
  <si>
    <t>형제수산</t>
  </si>
  <si>
    <t>대전광역시 대덕구 중리동 372-4 1층</t>
  </si>
  <si>
    <t>대전광역시 대덕구 중리로76번길 24 1층</t>
  </si>
  <si>
    <t>호돈</t>
  </si>
  <si>
    <t>최근 12개월 블로그 38건</t>
  </si>
  <si>
    <t>대전광역시 대덕구 신탄진동 126-21 1층</t>
  </si>
  <si>
    <t>대전광역시 대덕구 대청로 54 1층</t>
  </si>
  <si>
    <t>라멘유니버스</t>
  </si>
  <si>
    <t>음식점&gt;일식&gt;일본식라면</t>
  </si>
  <si>
    <t>최근 12개월 블로그 18건</t>
  </si>
  <si>
    <t>대전광역시 대덕구 오정동 175-36 1층</t>
  </si>
  <si>
    <t>대전광역시 대덕구 한남로38번길 3-1 1층</t>
  </si>
  <si>
    <t>림식당</t>
  </si>
  <si>
    <t>최근 12개월 블로그 8건</t>
  </si>
  <si>
    <t>대전광역시 대덕구 비래동 123-24 1층</t>
  </si>
  <si>
    <t>대전광역시 대덕구 비래서로 9 1층</t>
  </si>
  <si>
    <t>샤브연리지 신탄진점</t>
  </si>
  <si>
    <t>최근 12개월 블로그 24건</t>
  </si>
  <si>
    <t>대전광역시 대덕구 신탄진동 121-33 대전북부새마을금고 본사사옥 2층 203 호</t>
  </si>
  <si>
    <t>대전광역시 대덕구 대청로 12 대전북부새마을금고 본사사옥 2층 203 호</t>
  </si>
  <si>
    <t>준짜장오정점</t>
  </si>
  <si>
    <t>대전광역시 대덕구 오정동 88-25 1층</t>
  </si>
  <si>
    <t>대전광역시 대덕구 오정로78번길 23 1층</t>
  </si>
  <si>
    <t>카나우</t>
  </si>
  <si>
    <t>대전광역시 대덕구 송촌동 474-5 1층</t>
  </si>
  <si>
    <t>대전광역시 대덕구 송촌북로4번길 47-15 1층</t>
  </si>
  <si>
    <t>이타</t>
  </si>
  <si>
    <t>음식점&gt;일식&gt;덮밥</t>
  </si>
  <si>
    <t>대전광역시 대덕구 신탄진동 160-25 1F 이타</t>
  </si>
  <si>
    <t>대전광역시 대덕구 신탄진동로48번길 2 1F 이타</t>
  </si>
  <si>
    <t>청담향</t>
  </si>
  <si>
    <t>대전광역시 대덕구 송촌동 292-7 청담향</t>
  </si>
  <si>
    <t>대전광역시 대덕구 동서대로 1785 청담향</t>
  </si>
  <si>
    <t>화도식</t>
  </si>
  <si>
    <t>대전광역시 대덕구 오정동 274-23 1층</t>
  </si>
  <si>
    <t>대전광역시 대덕구 한밭대로1006번길 98 1층</t>
  </si>
  <si>
    <t>맛있는고기에솜씨를더하다 송촌점</t>
  </si>
  <si>
    <t>최근 12개월 블로그 6건</t>
  </si>
  <si>
    <t>대전광역시 대덕구 송촌동 475-3 1층</t>
  </si>
  <si>
    <t>대전광역시 대덕구 계족산로81번길 17 1층</t>
  </si>
  <si>
    <t>굴세상 덕암점</t>
  </si>
  <si>
    <t>한식&gt;굴요리</t>
  </si>
  <si>
    <t>대전광역시 대덕구 덕암동 12-3 굴세상</t>
  </si>
  <si>
    <t>대전광역시 대덕구 덕암로 259 굴세상</t>
  </si>
  <si>
    <t>백송한우 대전 유성</t>
  </si>
  <si>
    <t>한식&gt;소고기구이</t>
  </si>
  <si>
    <t>대전광역시 유성구 구암동 623-6 B동 지상 1층 백송한우 대전유성</t>
  </si>
  <si>
    <t>대전광역시 유성구 월드컵대로275번길 49 B동 지상 1층 백송한우 대전유성</t>
  </si>
  <si>
    <t>유성구 고기 | 유성구 냉면 | 유성구 한식</t>
  </si>
  <si>
    <t>태평소국밥</t>
  </si>
  <si>
    <t>대전광역시 유성구 봉명동 682-2</t>
  </si>
  <si>
    <t>대전광역시 유성구 온천동로65번길 50</t>
  </si>
  <si>
    <t>유성구 고기 | 유성구 국밥 | 유성구 맛집 | 유성구 한식</t>
  </si>
  <si>
    <t>전주집 본점</t>
  </si>
  <si>
    <t>한식&gt;향토음식</t>
  </si>
  <si>
    <t>지역성: 향토, 본점; 최근 12개월 블로그 19건</t>
  </si>
  <si>
    <t>대전광역시 유성구 봉명동 546-3 1층</t>
  </si>
  <si>
    <t>대전광역시 유성구 온천로 74 1층</t>
  </si>
  <si>
    <t>어은동 향토음식 | 유성구 향토음식</t>
  </si>
  <si>
    <t>대손관 대전봉명본점</t>
  </si>
  <si>
    <t>대전광역시 유성구 봉명동 665-3 B동 1, 2층</t>
  </si>
  <si>
    <t>대전광역시 유성구 한밭대로492번길 20 B동 1, 2층</t>
  </si>
  <si>
    <t>유성구 냉면 | 유성구 일식</t>
  </si>
  <si>
    <t>손의손 반석점</t>
  </si>
  <si>
    <t>대전광역시 유성구 반석동 308 108,109,110호</t>
  </si>
  <si>
    <t>대전광역시 유성구 반석로 51 108,109,110호</t>
  </si>
  <si>
    <t>유성구 냉면 | 유성구 맛집 | 유성구 한식 | 유성구 해산물</t>
  </si>
  <si>
    <t>소담칼국수쭈꾸미 어은점</t>
  </si>
  <si>
    <t>대전광역시 유성구 어은동 113-15 1층</t>
  </si>
  <si>
    <t>대전광역시 유성구 어은로48번길 15 1층</t>
  </si>
  <si>
    <t>어은동 칼국수 | 어은동 한식</t>
  </si>
  <si>
    <t>형과아우누룽지삼계탕왕갈비탕</t>
  </si>
  <si>
    <t>대전광역시 유성구 봉명동 538-8 동아벤처 타워 1층 115호</t>
  </si>
  <si>
    <t>대전광역시 유성구 온천로 59 (봉명동, 동아벤처 타워) 1층 115호</t>
  </si>
  <si>
    <t>어은동 삼계탕 | 유성구 맛집 | 유성구 삼계탕 | 유성구 한식</t>
  </si>
  <si>
    <t>솥계</t>
  </si>
  <si>
    <t>대전광역시 유성구 어은동 105-5 1층</t>
  </si>
  <si>
    <t>대전광역시 유성구 농대로 6 1층</t>
  </si>
  <si>
    <t>어은동 맛집 | 어은동 삼계탕 | 어은동 칼국수 | 어은동 한식</t>
  </si>
  <si>
    <t>오씨칼국수 도룡점</t>
  </si>
  <si>
    <t>대전광역시 유성구 도룡동 4-9 하우스D어반 1층 E103,104,105호</t>
  </si>
  <si>
    <t>대전광역시 유성구 엑스포로151번길 19 하우스D어반 1층 E103,104,105호</t>
  </si>
  <si>
    <t>유성구 칼국수 | 유성구 해산물</t>
  </si>
  <si>
    <t>장원갑칼국수 대전유성점</t>
  </si>
  <si>
    <t>지역성: 대전, 칼국수; 최근 12개월 블로그 100건</t>
  </si>
  <si>
    <t>대전광역시 유성구 덕명동 508-1 지상1층</t>
  </si>
  <si>
    <t>대전광역시 유성구 현충원로 288 지상1층</t>
  </si>
  <si>
    <t>유성구 칼국수</t>
  </si>
  <si>
    <t>남도주막</t>
  </si>
  <si>
    <t>지역성: 향토; 최근 12개월 블로그 35건</t>
  </si>
  <si>
    <t>대전광역시 유성구 지족동 908-8 101호</t>
  </si>
  <si>
    <t>대전광역시 유성구 은구비서로3번길 20 101호</t>
  </si>
  <si>
    <t>박봉명생갈비</t>
  </si>
  <si>
    <t>대전광역시 유성구 봉명동 624-2 나이스펠리스103,104호</t>
  </si>
  <si>
    <t>대전광역시 유성구 온천북로33번길 35-17 나이스펠리스103,104호</t>
  </si>
  <si>
    <t>어은동 노포 | 유성구 노포</t>
  </si>
  <si>
    <t>철수네매운갈비찜</t>
  </si>
  <si>
    <t>대전광역시 유성구 봉명동 535-5 한진 오피스텔 1층 뒷편 주차장 입구</t>
  </si>
  <si>
    <t>대전광역시 유성구 대학로 31 한진 오피스텔 1층 뒷편 주차장 입구</t>
  </si>
  <si>
    <t>본죽&amp;비빔밥cafe 대전어은점</t>
  </si>
  <si>
    <t>음식점&gt;죽</t>
  </si>
  <si>
    <t>지역성: 대전; 최근 12개월 블로그 46건</t>
  </si>
  <si>
    <t>대전광역시 유성구 어은동 110-1</t>
  </si>
  <si>
    <t>대전광역시 유성구 어은로58번길 10</t>
  </si>
  <si>
    <t>어은동 냉면 | 어은동 칼국수</t>
  </si>
  <si>
    <t>유성본가 누룽지삼계탕</t>
  </si>
  <si>
    <t>대전광역시 유성구 구암동 163-4</t>
  </si>
  <si>
    <t>대전광역시 유성구 유성대로 645</t>
  </si>
  <si>
    <t>유성구 맛집 | 유성구 삼계탕 | 유성구 한식</t>
  </si>
  <si>
    <t>달구지막창 유성점</t>
  </si>
  <si>
    <t>육류,고기요리&gt;곱창,막창,양</t>
  </si>
  <si>
    <t>최근 12개월 블로그 67건</t>
  </si>
  <si>
    <t>대전광역시 유성구 어은동 100-1</t>
  </si>
  <si>
    <t>대전광역시 유성구 어은로57번길 59</t>
  </si>
  <si>
    <t>어은동 고기 | 어은동 한식</t>
  </si>
  <si>
    <t>복사꽃피는집 대전점</t>
  </si>
  <si>
    <t>한식&gt;해물,생선요리&gt;주꾸미요리</t>
  </si>
  <si>
    <t>대전광역시 유성구 계산동 305-10 1층 복사꽃피는집</t>
  </si>
  <si>
    <t>대전광역시 유성구 원계산로 238-34 1층 복사꽃피는집</t>
  </si>
  <si>
    <t>유성구 한식 | 유성구 해산물</t>
  </si>
  <si>
    <t>칼 누들바 대전봉명점</t>
  </si>
  <si>
    <t>대전광역시 유성구 봉명동 621-1 팰릭스타워 1층 106호</t>
  </si>
  <si>
    <t>대전광역시 유성구 문화원로 90 팰릭스타워 1층 106호</t>
  </si>
  <si>
    <t>어은동 두부두루치기 | 유성구 두부두루치기</t>
  </si>
  <si>
    <t>전통순대국밥</t>
  </si>
  <si>
    <t>대전광역시 유성구 어은동 106-1</t>
  </si>
  <si>
    <t>대전광역시 유성구 대학로 187</t>
  </si>
  <si>
    <t>어은동 고기 | 어은동 국밥</t>
  </si>
  <si>
    <t>제면소의하루 대전어은본점</t>
  </si>
  <si>
    <t>음식점&gt;일식&gt;우동,소바</t>
  </si>
  <si>
    <t>지역성: 본점, 대전; 최근 12개월 블로그 95건</t>
  </si>
  <si>
    <t>대전광역시 유성구 어은동 111-1 1층</t>
  </si>
  <si>
    <t>대전광역시 유성구 어은로58번길 14 1층</t>
  </si>
  <si>
    <t>어은동 맛집</t>
  </si>
  <si>
    <t>제주똥돼지오겹살</t>
  </si>
  <si>
    <t>대전광역시 유성구 봉명동 549-6</t>
  </si>
  <si>
    <t>대전광역시 유성구 온천로 64</t>
  </si>
  <si>
    <t>대전 태평소국밥</t>
  </si>
  <si>
    <t>대전광역시 유성구 봉명동 676-3</t>
  </si>
  <si>
    <t>대전광역시 유성구 문화원로 140</t>
  </si>
  <si>
    <t>유성구 국밥</t>
  </si>
  <si>
    <t>진원소우 대전봉명점</t>
  </si>
  <si>
    <t>음식점&gt;한식&gt;육류,고기요리&gt;소고기구이</t>
  </si>
  <si>
    <t>지역성: 대전; 최근 12개월 블로그 73건</t>
  </si>
  <si>
    <t>대전광역시 유성구 봉명동 611-11 2층 201, 202호</t>
  </si>
  <si>
    <t>대전광역시 유성구 문화원로 93 2층 201, 202호</t>
  </si>
  <si>
    <t>유성구 고기 | 유성구 냉면</t>
  </si>
  <si>
    <t>밥하기싫은날 후루룩손칼국수</t>
  </si>
  <si>
    <t>대전광역시 유성구 반석동 659-1</t>
  </si>
  <si>
    <t>대전광역시 유성구 반석로11번길 66-11</t>
  </si>
  <si>
    <t>유성구 두부두루치기</t>
  </si>
  <si>
    <t>운탄 반석 본점</t>
  </si>
  <si>
    <t>지역성: 본점; 최근 12개월 블로그 86건</t>
  </si>
  <si>
    <t>대전광역시 유성구 반석동 639-5 반석역 2번 출구 도보 5분</t>
  </si>
  <si>
    <t>대전광역시 유성구 반석로11번길 8 반석역 2번 출구 도보 5분</t>
  </si>
  <si>
    <t>작교</t>
  </si>
  <si>
    <t>최근 12개월 블로그 34건</t>
  </si>
  <si>
    <t>대전광역시 유성구 어은동 105-12</t>
  </si>
  <si>
    <t>대전광역시 유성구 농대로2번길 7-11</t>
  </si>
  <si>
    <t>어은동 한식 | 어은동 해산물</t>
  </si>
  <si>
    <t>골목</t>
  </si>
  <si>
    <t>대전광역시 유성구 어은동 108-3 1층</t>
  </si>
  <si>
    <t>대전광역시 유성구 어은로57번길 5 1층</t>
  </si>
  <si>
    <t>부산갈매기 대전봉명점</t>
  </si>
  <si>
    <t>대전광역시 유성구 봉명동 636-1 지상1층</t>
  </si>
  <si>
    <t>대전광역시 유성구 온천북로 21 지상1층</t>
  </si>
  <si>
    <t>유성구 고기</t>
  </si>
  <si>
    <t>궁칼국수</t>
  </si>
  <si>
    <t>대전광역시 유성구 어은동 110-1 2층</t>
  </si>
  <si>
    <t>대전광역시 유성구 어은로58번길 10 2층</t>
  </si>
  <si>
    <t>어은동 칼국수</t>
  </si>
  <si>
    <t>동래돼지국밥수육 대전유성본점</t>
  </si>
  <si>
    <t>대전광역시 유성구 봉명동 656-6 1층</t>
  </si>
  <si>
    <t>대전광역시 유성구 온천북로 45 1층</t>
  </si>
  <si>
    <t>오모리생바지락손칼국수</t>
  </si>
  <si>
    <t>지역성: 칼국수; 최근 12개월 블로그 76건</t>
  </si>
  <si>
    <t>대전광역시 유성구 반석동 665-3</t>
  </si>
  <si>
    <t>대전광역시 유성구 북유성대로 328</t>
  </si>
  <si>
    <t>안골칼국수</t>
  </si>
  <si>
    <t>지역성: 칼국수; 최근 12개월 블로그 15건</t>
  </si>
  <si>
    <t>대전광역시 유성구 어은동 111-2 지하1층</t>
  </si>
  <si>
    <t>대전광역시 유성구 어은로58번길 16 지하1층</t>
  </si>
  <si>
    <t>어은동 두부두루치기 | 어은동 칼국수</t>
  </si>
  <si>
    <t>호우섬 대전신세계Art&amp;Science점</t>
  </si>
  <si>
    <t>대전광역시 유성구 도룡동 3-1 대전신세계 아트</t>
  </si>
  <si>
    <t>대전광역시 유성구 엑스포로 1 대전신세계 아트</t>
  </si>
  <si>
    <t>유성구 중식</t>
  </si>
  <si>
    <t>익선잡방 대전신세계점</t>
  </si>
  <si>
    <t>음식점&gt;브런치</t>
  </si>
  <si>
    <t>지역성: 대전; 최근 12개월 블로그 93건</t>
  </si>
  <si>
    <t>대전광역시 유성구 도룡동 648 대전신세계백화점 Art&amp;Science 6층 익선잡방</t>
  </si>
  <si>
    <t>대전광역시 유성구 엑스포로 1 대전신세계백화점 Art&amp;Science 6층 익선잡방</t>
  </si>
  <si>
    <t>유성구 맛집</t>
  </si>
  <si>
    <t>이비가짬뽕 유성본점</t>
  </si>
  <si>
    <t>대전광역시 유성구 궁동 462-12</t>
  </si>
  <si>
    <t>대전광역시 유성구 문화원로 39</t>
  </si>
  <si>
    <t>임도현의 목포횟집</t>
  </si>
  <si>
    <t>대전광역시 유성구 어은동 100-11 1층</t>
  </si>
  <si>
    <t>대전광역시 유성구 어은로51번길 56 1층</t>
  </si>
  <si>
    <t>감쪽 대전봉명점</t>
  </si>
  <si>
    <t>대전광역시 유성구 봉명동 628-2 지상1층</t>
  </si>
  <si>
    <t>대전광역시 유성구 온천북로 19 지상1층</t>
  </si>
  <si>
    <t>유성구 맛집 | 유성구 한식</t>
  </si>
  <si>
    <t>공주쌍신집칼국수 방동직영점</t>
  </si>
  <si>
    <t>한식&gt;국수</t>
  </si>
  <si>
    <t>대전광역시 유성구 방동 172 지상 1, 2층</t>
  </si>
  <si>
    <t>대전광역시 유성구 성북로 66-12 지상 1, 2층</t>
  </si>
  <si>
    <t>다르다김밥 대전신세계점</t>
  </si>
  <si>
    <t>대전광역시 유성구 도룡동 648 A50호</t>
  </si>
  <si>
    <t>대전광역시 유성구 엑스포로 1 A50호</t>
  </si>
  <si>
    <t>유성구 분식</t>
  </si>
  <si>
    <t>대감막창갈매기 전민본점</t>
  </si>
  <si>
    <t>대전광역시 유성구 전민동 336-2 1층</t>
  </si>
  <si>
    <t>대전광역시 유성구 전민로70번길 48 1층</t>
  </si>
  <si>
    <t>유성구 노포</t>
  </si>
  <si>
    <t>마시내 본점</t>
  </si>
  <si>
    <t>대전광역시 유성구 장대동 355-15 1층 마시내</t>
  </si>
  <si>
    <t>대전광역시 유성구 문화원로14번길 14 1층 마시내</t>
  </si>
  <si>
    <t>손의손 대전봉명점</t>
  </si>
  <si>
    <t>대전광역시 유성구 봉명동 554-5 1층</t>
  </si>
  <si>
    <t>대전광역시 유성구 도안대로 585 1층</t>
  </si>
  <si>
    <t>유성구 해산물</t>
  </si>
  <si>
    <t>천리집</t>
  </si>
  <si>
    <t>대전광역시 유성구 신성동 125-3</t>
  </si>
  <si>
    <t>대전광역시 유성구 신성남로 127</t>
  </si>
  <si>
    <t>1987 신샤브</t>
  </si>
  <si>
    <t>대전광역시 유성구 어은동 115-7 1층</t>
  </si>
  <si>
    <t>대전광역시 유성구 어은로48번길 6 1층</t>
  </si>
  <si>
    <t>노은칼국수</t>
  </si>
  <si>
    <t>대전광역시 유성구 지족동 910-23</t>
  </si>
  <si>
    <t>대전광역시 유성구 은구비로 44</t>
  </si>
  <si>
    <t>속풀이부추칼국수황제보쌈유성점</t>
  </si>
  <si>
    <t>대전광역시 유성구 봉명동 557-1</t>
  </si>
  <si>
    <t>대전광역시 유성구 도안대로567번길 31</t>
  </si>
  <si>
    <t>손의손 대전관평점</t>
  </si>
  <si>
    <t>대전광역시 유성구 관평동 957 102호</t>
  </si>
  <si>
    <t>대전광역시 유성구 테크노중앙로 66 102호</t>
  </si>
  <si>
    <t>쌈의 대가</t>
  </si>
  <si>
    <t>한식&gt;쌈밥</t>
  </si>
  <si>
    <t>대전광역시 유성구 어은동 103-9</t>
  </si>
  <si>
    <t>대전광역시 유성구 농대로8번길 19</t>
  </si>
  <si>
    <t>어은동 국밥</t>
  </si>
  <si>
    <t>형과아우누룽지삼계탕&amp;왕갈비탕 대전관평현대아울렛점</t>
  </si>
  <si>
    <t>대전광역시 유성구 용산동 576 1층 103호</t>
  </si>
  <si>
    <t>대전광역시 유성구 테크노중앙로 153 1층 103호</t>
  </si>
  <si>
    <t>HYPERLINK is not implemented. linkLocation=https://search.naver.com/search.naver?where=blog&amp;query=%ED%98%95%EA%B3%BC%EC%95%84%EC%9A%B0%EB%88%84%EB%A3%BD%EC%A7%80%EC%82%BC%EA%B3%84%ED%83%95%26%EC%99%95%EA%B0%88%EB%B9%84%ED%83%95+%EB%8C%80%EC%A0%84%EA%B4%80%ED%8F%89%ED%98%84%EB%8C%80%EC%95%84%EC%9A%B8%EB%A0%9B%EC%A0%90+%EC%9C%A0%EC%84%B1%EA%B5%AC, friendlyName=블로그 보기</t>
  </si>
  <si>
    <t>유성구 삼계탕</t>
  </si>
  <si>
    <t>오사카데스 대전봉명점</t>
  </si>
  <si>
    <t>지역성: 대전; 최근 12개월 블로그 71건</t>
  </si>
  <si>
    <t>대전광역시 유성구 봉명동 626-2 1층</t>
  </si>
  <si>
    <t>대전광역시 유성구 온천북로13번길 20 1층</t>
  </si>
  <si>
    <t>유성구 일식</t>
  </si>
  <si>
    <t>우식이네 숙성관 본점</t>
  </si>
  <si>
    <t>지역성: 본점; 최근 12개월 블로그 99건</t>
  </si>
  <si>
    <t>대전광역시 유성구 도룡동 4-9 도룡 하우스디 1층 A112호~A118호</t>
  </si>
  <si>
    <t>대전광역시 유성구 엑스포로151번길 19 도룡 하우스디 1층 A112호~A118호</t>
  </si>
  <si>
    <t>운탄 대전봉명점</t>
  </si>
  <si>
    <t>지역성: 대전; 최근 12개월 블로그 36건</t>
  </si>
  <si>
    <t>대전광역시 유성구 봉명동 676-2 1층 102호</t>
  </si>
  <si>
    <t>대전광역시 유성구 문화원로 138 1층 102호</t>
  </si>
  <si>
    <t>어은동 노포</t>
  </si>
  <si>
    <t>형과아우누룽지삼계탕&amp;왕갈비탕</t>
  </si>
  <si>
    <t>대전광역시 유성구 도룡동 395-7 지상1층()</t>
  </si>
  <si>
    <t>대전광역시 유성구 대덕대로590번길 12-7 지상1층(도룡동)</t>
  </si>
  <si>
    <t>고치소사마 대전 봉명</t>
  </si>
  <si>
    <t>대전광역시 유성구 봉명동 683-6 고치소사마 대전봉명</t>
  </si>
  <si>
    <t>대전광역시 유성구 온천동로65번길 26 고치소사마 대전봉명</t>
  </si>
  <si>
    <t>꿀돼지돌판구이</t>
  </si>
  <si>
    <t>최근 12개월 블로그 22건</t>
  </si>
  <si>
    <t>대전광역시 유성구 어은동 100-12</t>
  </si>
  <si>
    <t>대전광역시 유성구 어은로51번길 58</t>
  </si>
  <si>
    <t>어은동 삼계탕</t>
  </si>
  <si>
    <t>별리달리 별달돈까스 궁동점</t>
  </si>
  <si>
    <t>대전광역시 유성구 궁동 399-11</t>
  </si>
  <si>
    <t>대전광역시 유성구 궁동로18번길 45</t>
  </si>
  <si>
    <t>샤오차이나 룸 중식주점 궁동본점</t>
  </si>
  <si>
    <t>대전광역시 유성구 궁동 410-13 5층</t>
  </si>
  <si>
    <t>대전광역시 유성구 대학로151번길 25 5층</t>
  </si>
  <si>
    <t>전민엄마김밥 본점</t>
  </si>
  <si>
    <t>대전광역시 유성구 전민동 346-1 1층</t>
  </si>
  <si>
    <t>대전광역시 유성구 전민로70번길 12 1층</t>
  </si>
  <si>
    <t>전주두레박콩나물국밥</t>
  </si>
  <si>
    <t>대전광역시 유성구 원신흥동 541-3</t>
  </si>
  <si>
    <t>대전광역시 유성구 원신흥남로 58</t>
  </si>
  <si>
    <t>목동칼국수 관평점</t>
  </si>
  <si>
    <t>지역성: 칼국수; 최근 12개월 블로그 51건</t>
  </si>
  <si>
    <t>대전광역시 유성구 관평동 1211</t>
  </si>
  <si>
    <t>대전광역시 유성구 관들5길 15-19</t>
  </si>
  <si>
    <t>무어</t>
  </si>
  <si>
    <t>이탈리아음식&gt;스파게티,파스타전문</t>
  </si>
  <si>
    <t>대전광역시 유성구 어은동 111-4 1층</t>
  </si>
  <si>
    <t>대전광역시 유성구 어은로58번길 20 1층</t>
  </si>
  <si>
    <t>어은동 해산물</t>
  </si>
  <si>
    <t>상무초밥 유성점</t>
  </si>
  <si>
    <t>대전광역시 유성구 봉명동 617-1 1층 106~110호</t>
  </si>
  <si>
    <t>대전광역시 유성구 대학로 44 1층 106~110호(봉명동)</t>
  </si>
  <si>
    <t>소문난떡볶이</t>
  </si>
  <si>
    <t>분식&gt;떡볶이</t>
  </si>
  <si>
    <t>대전광역시 유성구 송강동 49-10</t>
  </si>
  <si>
    <t>대전광역시 유성구 구즉로 74-7</t>
  </si>
  <si>
    <t>유성즉석떡볶이</t>
  </si>
  <si>
    <t>대전광역시 유성구 원신흥동 551-8 1층</t>
  </si>
  <si>
    <t>대전광역시 유성구 동서대로735번길 104 1층</t>
  </si>
  <si>
    <t>칼질만번짬뽕 유성노은역</t>
  </si>
  <si>
    <t>대전광역시 유성구 지족동 901-1 105호</t>
  </si>
  <si>
    <t>대전광역시 유성구 은구비로 36 105호</t>
  </si>
  <si>
    <t>퐁당샤브 유성점</t>
  </si>
  <si>
    <t>대전광역시 유성구 봉명동 617-4 104, 105호</t>
  </si>
  <si>
    <t>대전광역시 유성구 온천북로 7 104, 105호</t>
  </si>
  <si>
    <t>푸고 대전관평점</t>
  </si>
  <si>
    <t>대전광역시 유성구 관평동 957 2층</t>
  </si>
  <si>
    <t>대전광역시 유성구 테크노중앙로 66 2층</t>
  </si>
  <si>
    <t>유성구 한식</t>
  </si>
  <si>
    <t>호텔 오노마 타운하우스</t>
  </si>
  <si>
    <t>음식점&gt;뷔페</t>
  </si>
  <si>
    <t>대전광역시 유성구 도룡동 3-1 7층 타운하우스</t>
  </si>
  <si>
    <t>대전광역시 유성구 엑스포로 1 7층 타운하우스</t>
  </si>
  <si>
    <t>상하이양꼬치양갈비 관평점</t>
  </si>
  <si>
    <t>대전광역시 유성구 관평동 1081</t>
  </si>
  <si>
    <t>대전광역시 유성구 관들2길 72-9</t>
  </si>
  <si>
    <t>유씨네본가누룽지삼계탕 유성점</t>
  </si>
  <si>
    <t>대전광역시 유성구 장대동 281-23 1층</t>
  </si>
  <si>
    <t>대전광역시 유성구 장대로 50 1층</t>
  </si>
  <si>
    <t>대박푸드</t>
  </si>
  <si>
    <t>대전광역시 유성구 관평동 1097 1층</t>
  </si>
  <si>
    <t>대전광역시 유성구 관들2길 72-2 1층</t>
  </si>
  <si>
    <t>두레정얼큰한칼국수</t>
  </si>
  <si>
    <t>지역성: 칼국수; 최근 12개월 블로그 17건</t>
  </si>
  <si>
    <t>대전광역시 유성구 장대동 369-9 1층</t>
  </si>
  <si>
    <t>대전광역시 유성구 유성대로736번길 96 1층</t>
  </si>
  <si>
    <t>어은동 두부두루치기</t>
  </si>
  <si>
    <t>베네파스타하우스</t>
  </si>
  <si>
    <t>음식점&gt;양식</t>
  </si>
  <si>
    <t>대전광역시 유성구 어은동 112-13 베네파스타 하우스</t>
  </si>
  <si>
    <t>대전광역시 유성구 어은로42번길 21-14 베네파스타 하우스</t>
  </si>
  <si>
    <t>샤브향 관평점</t>
  </si>
  <si>
    <t>최근 12개월 블로그 61건</t>
  </si>
  <si>
    <t>대전광역시 유성구 관평동 798 에이스타워</t>
  </si>
  <si>
    <t>대전광역시 유성구 테크노중앙로 55 에이스타워</t>
  </si>
  <si>
    <t>유성 솥뚜껑 본가 수피아</t>
  </si>
  <si>
    <t>한식&gt;닭볶음탕</t>
  </si>
  <si>
    <t>최근 12개월 블로그 64건</t>
  </si>
  <si>
    <t>대전광역시 유성구 갑동 402-3 1층 2층</t>
  </si>
  <si>
    <t>대전광역시 유성구 갑동로15번길 53 1층 2층</t>
  </si>
  <si>
    <t>초심 대전신성점</t>
  </si>
  <si>
    <t>지역성: 대전; 최근 12개월 블로그 24건</t>
  </si>
  <si>
    <t>대전광역시 유성구 신성동 122-3 지상1층</t>
  </si>
  <si>
    <t>대전광역시 유성구 신성로 95 지상1층</t>
  </si>
  <si>
    <t>평화로운집 대전봉명점</t>
  </si>
  <si>
    <t>대전광역시 유성구 봉명동 612-3 1층 117호</t>
  </si>
  <si>
    <t>대전광역시 유성구 대학로 60 1층 117호</t>
  </si>
  <si>
    <t>한마음정육식당 어은점</t>
  </si>
  <si>
    <t>음식점&gt;한식&gt;육류,고기요리</t>
  </si>
  <si>
    <t>대전광역시 유성구 어은동 115-1 1층</t>
  </si>
  <si>
    <t>대전광역시 유성구 어은로 46 1층</t>
  </si>
  <si>
    <t>어은동 고기</t>
  </si>
  <si>
    <t>황서옥</t>
  </si>
  <si>
    <t>대전광역시 유성구 덕명동 593-11</t>
  </si>
  <si>
    <t>대전광역시 유성구 동서대로179번길 38</t>
  </si>
  <si>
    <t>강남국밥</t>
  </si>
  <si>
    <t>대전광역시 유성구 어은동 110-5 강남국밥</t>
  </si>
  <si>
    <t>대전광역시 유성구 어은로48번길 9-5 강남국밥</t>
  </si>
  <si>
    <t>고기명작 봉명직영점</t>
  </si>
  <si>
    <t>대전광역시 유성구 봉명동 621-6 고기명작 1층 입니다</t>
  </si>
  <si>
    <t>대전광역시 유성구 온천북로33번길 39 고기명작 1층 입니다</t>
  </si>
  <si>
    <t>대구막창</t>
  </si>
  <si>
    <t>대전광역시 유성구 어은동 100-4</t>
  </si>
  <si>
    <t>대전광역시 유성구 어은로57번길 53</t>
  </si>
  <si>
    <t>모쿠요비 일본식 덮밥 봉명점</t>
  </si>
  <si>
    <t>대전광역시 유성구 봉명동 612-3 . 2층 212호</t>
  </si>
  <si>
    <t>대전광역시 유성구 대학로 60 . 2층 212호</t>
  </si>
  <si>
    <t>미나리삼겹살</t>
  </si>
  <si>
    <t>대전광역시 유성구 어은동 111-2 1층</t>
  </si>
  <si>
    <t>대전광역시 유성구 어은로58번길 16 1층</t>
  </si>
  <si>
    <t>백소정 대전노은점</t>
  </si>
  <si>
    <t>지역성: 대전; 최근 12개월 블로그 2건</t>
  </si>
  <si>
    <t>대전광역시 유성구 지족동 910-3 103호</t>
  </si>
  <si>
    <t>대전광역시 유성구 은구비남로33번길 68 103호</t>
  </si>
  <si>
    <t>유성구 맛집 | 유성구 일식</t>
  </si>
  <si>
    <t>숨은 달인 횟집 물회</t>
  </si>
  <si>
    <t>대전광역시 유성구 어은동 100-15 1층</t>
  </si>
  <si>
    <t>대전광역시 유성구 농대로 14 1층</t>
  </si>
  <si>
    <t>한마음 냉면</t>
  </si>
  <si>
    <t>대전광역시 유성구 원내동 334-17</t>
  </si>
  <si>
    <t>대전광역시 유성구 진잠로70번길 41</t>
  </si>
  <si>
    <t>유성구 냉면</t>
  </si>
  <si>
    <t>대전광역시 유성구 봉명동 611-9 . 103,104, 105호</t>
  </si>
  <si>
    <t>대전광역시 유성구 문화원로 89 . 103,104, 105호(봉명동)</t>
  </si>
  <si>
    <t>낭랑</t>
  </si>
  <si>
    <t>최근 12개월 블로그 62건</t>
  </si>
  <si>
    <t>대전광역시 유성구 신성동 126-18 1층</t>
  </si>
  <si>
    <t>대전광역시 유성구 신성남로111번길 16 1층</t>
  </si>
  <si>
    <t>묘한식당</t>
  </si>
  <si>
    <t>대전광역시 유성구 봉명동 624-2</t>
  </si>
  <si>
    <t>대전광역시 유성구 온천북로33번길 35-17</t>
  </si>
  <si>
    <t>유명돌구이</t>
  </si>
  <si>
    <t>최근 12개월 블로그 82건</t>
  </si>
  <si>
    <t>대전광역시 유성구 봉명동 468-1</t>
  </si>
  <si>
    <t>대전광역시 유성구 계룡로 60 (봉명동)</t>
  </si>
  <si>
    <t>조기종의향미각 봉명점</t>
  </si>
  <si>
    <t>대전광역시 유성구 봉명동 607-4</t>
  </si>
  <si>
    <t>대전광역시 유성구 대학로 39-10</t>
  </si>
  <si>
    <t>카라마데</t>
  </si>
  <si>
    <t>대전광역시 유성구 죽동 724-4</t>
  </si>
  <si>
    <t>대전광역시 유성구 죽동로279번길 43-5</t>
  </si>
  <si>
    <t>화목한우리집</t>
  </si>
  <si>
    <t>최근 12개월 블로그 91건</t>
  </si>
  <si>
    <t>대전광역시 유성구 전민동 348-15</t>
  </si>
  <si>
    <t>대전광역시 유성구 전민로 64</t>
  </si>
  <si>
    <t>고봉민김밥인 대전어은점</t>
  </si>
  <si>
    <t>지역성: 대전</t>
  </si>
  <si>
    <t>대전광역시 유성구 어은동 115-2 한빛빌딩 1층</t>
  </si>
  <si>
    <t>대전광역시 유성구 어은로 44 한빛빌딩 1층</t>
  </si>
  <si>
    <t>어은동 국밥 | 어은동 냉면</t>
  </si>
  <si>
    <t>마쯔미라멘</t>
  </si>
  <si>
    <t>최근 12개월 블로그 72건</t>
  </si>
  <si>
    <t>대전광역시 유성구 어은동 114-9 1층</t>
  </si>
  <si>
    <t>대전광역시 유성구 어은로42번길 19 1층</t>
  </si>
  <si>
    <t>연래춘대반점</t>
  </si>
  <si>
    <t>최근 12개월 블로그 93건</t>
  </si>
  <si>
    <t>대전광역시 유성구 궁동 482-8</t>
  </si>
  <si>
    <t>대전광역시 유성구 대학로 78</t>
  </si>
  <si>
    <t>열매손만두분식</t>
  </si>
  <si>
    <t>분식&gt;만두</t>
  </si>
  <si>
    <t>대전광역시 유성구 지족동 912-10 열매손만두분식</t>
  </si>
  <si>
    <t>대전광역시 유성구 은구비서로 25 열매손만두분식</t>
  </si>
  <si>
    <t>오거리회관</t>
  </si>
  <si>
    <t>대전광역시 유성구 원내동 206-3 206-3번지</t>
  </si>
  <si>
    <t>대전광역시 유성구 진잠로140번길 63 원내동206-3번지</t>
  </si>
  <si>
    <t>오쿠바</t>
  </si>
  <si>
    <t>술집&gt;오뎅,꼬치</t>
  </si>
  <si>
    <t>대전광역시 유성구 어은동 101-14 102호 오쿠바</t>
  </si>
  <si>
    <t>대전광역시 유성구 어은로51번길 44 102호 오쿠바</t>
  </si>
  <si>
    <t>도심회관식당 대전본점</t>
  </si>
  <si>
    <t>대전광역시 동구 중동 22-4 도심회관식당</t>
  </si>
  <si>
    <t>대전광역시 동구 대전로813번길 14 도심회관식당</t>
  </si>
  <si>
    <t>대전역 노포 | 대전역 삼계탕 | 소제동 삼계탕</t>
  </si>
  <si>
    <t>비범</t>
  </si>
  <si>
    <t>대전광역시 동구 소제동 299-85 단독채</t>
  </si>
  <si>
    <t>대전광역시 동구 수향길 99 단독채</t>
  </si>
  <si>
    <t>대전역 고기 | 대전역 국밥 | 대전역 한식 | 소제동 고기 | 소제동 국밥 | 소제동 맛집 | 소제동 한식</t>
  </si>
  <si>
    <t>김화칼국수</t>
  </si>
  <si>
    <t>대전광역시 동구 중동 22-3</t>
  </si>
  <si>
    <t>대전광역시 동구 중앙로203번길 28</t>
  </si>
  <si>
    <t>대전역 국밥 | 대전역 맛집 | 대전역 칼국수 | 대전역 한식 | 소제동 칼국수</t>
  </si>
  <si>
    <t>별난집</t>
  </si>
  <si>
    <t>대전광역시 동구 중동 60-4 1층 별난집</t>
  </si>
  <si>
    <t>대전광역시 동구 중앙로193번길 8 1층 별난집</t>
  </si>
  <si>
    <t>대전역 고기 | 대전역 노포 | 대전역 두부두루치기 | 대전역 삼계탕 | 소제동 노포 | 소제동 두부두루치기 | 소제동 삼계탕</t>
  </si>
  <si>
    <t>얼큰이손칼국수</t>
  </si>
  <si>
    <t>지역성: 칼국수; 최근 12개월 블로그 21건</t>
  </si>
  <si>
    <t>대전광역시 동구 용운동 451-5</t>
  </si>
  <si>
    <t>대전광역시 동구 용운로 97</t>
  </si>
  <si>
    <t>용운동 두부두루치기 | 용운동 칼국수 | 용운동 한식</t>
  </si>
  <si>
    <t>전봇대 숯불 오겹</t>
  </si>
  <si>
    <t>최근 12개월 블로그 39건</t>
  </si>
  <si>
    <t>대전광역시 동구 용운동 382-9 1층</t>
  </si>
  <si>
    <t>대전광역시 동구 새울로81번길 36-2 1층</t>
  </si>
  <si>
    <t>용운동 고기 | 용운동 두부두루치기 | 용운동 맛집 | 용운동 칼국수 | 용운동 한식</t>
  </si>
  <si>
    <t>온천집</t>
  </si>
  <si>
    <t>최근 12개월 블로그 63건</t>
  </si>
  <si>
    <t>대전광역시 동구 소제동 299-69 온천집</t>
  </si>
  <si>
    <t>대전광역시 동구 수향길 17 온천집</t>
  </si>
  <si>
    <t>소제동 고기 | 소제동 일식 | 소제동 칼국수</t>
  </si>
  <si>
    <t>명륜진사갈비 대전용운점</t>
  </si>
  <si>
    <t>지역성: 대전; 최근 12개월 블로그 60건</t>
  </si>
  <si>
    <t>대전광역시 동구 용운동 317-4 1층</t>
  </si>
  <si>
    <t>대전광역시 동구 동부로 99 1층</t>
  </si>
  <si>
    <t>용운동 고기 | 용운동 한식</t>
  </si>
  <si>
    <t>한밭대가</t>
  </si>
  <si>
    <t>대전광역시 동구 신안동 225-4 1층</t>
  </si>
  <si>
    <t>대전광역시 동구 동광장로 45 1층</t>
  </si>
  <si>
    <t>대전역 삼계탕 | 소제동 삼계탕 | 용운동 삼계탕</t>
  </si>
  <si>
    <t>마성소국밥 대전역점</t>
  </si>
  <si>
    <t>대전광역시 동구 중동 94-1</t>
  </si>
  <si>
    <t>대전광역시 동구 중앙로200번길 3</t>
  </si>
  <si>
    <t>대전역 고기 | 대전역 국밥 | 소제동 국밥</t>
  </si>
  <si>
    <t>고향촌칼국수</t>
  </si>
  <si>
    <t>지역성: 칼국수; 최근 12개월 블로그 9건</t>
  </si>
  <si>
    <t>대전광역시 동구 용운동 558</t>
  </si>
  <si>
    <t>대전광역시 동구 대학로 91</t>
  </si>
  <si>
    <t>용운동 칼국수 | 용운동 한식</t>
  </si>
  <si>
    <t>대박구이</t>
  </si>
  <si>
    <t>한식&gt;조개요리</t>
  </si>
  <si>
    <t>대전광역시 동구 가양동 655-25 대박구이</t>
  </si>
  <si>
    <t>대전광역시 동구 충정로 128 대박구이</t>
  </si>
  <si>
    <t>소제동 해산물 | 용운동 노포 | 판암동 노포</t>
  </si>
  <si>
    <t>대돌배기 판암점</t>
  </si>
  <si>
    <t>대전광역시 동구 판암동 865-1 . 1층제101호 제102호</t>
  </si>
  <si>
    <t>대전광역시 동구 동부로10번길 52 . 1층제101호 제102호</t>
  </si>
  <si>
    <t>판암동 맛집 | 판암동 칼국수 | 판암동 한식</t>
  </si>
  <si>
    <t>황씨 버섯 샤브샤브칼국수</t>
  </si>
  <si>
    <t>대전광역시 동구 용운동 354-11 1층</t>
  </si>
  <si>
    <t>대전광역시 동구 새울로 90 (용운동) 1층</t>
  </si>
  <si>
    <t>대전 칼국수 족발 쭈꾸미볶음 본점</t>
  </si>
  <si>
    <t>지역성: 본점, 대전, 칼국수; 최근 12개월 블로그 100건</t>
  </si>
  <si>
    <t>대전광역시 동구 효동 268-16</t>
  </si>
  <si>
    <t>대전광역시 동구 대전로 641-1</t>
  </si>
  <si>
    <t>용운동 두부두루치기</t>
  </si>
  <si>
    <t>돈앤삼겹 대전본점</t>
  </si>
  <si>
    <t>대전광역시 동구 용운동 660 1층 돈앤삼겹 대전본점</t>
  </si>
  <si>
    <t>대전광역시 동구 대학로 38-1 1층 돈앤삼겹 대전본점</t>
  </si>
  <si>
    <t>용운동 냉면</t>
  </si>
  <si>
    <t>라홍방마라탕 대전용운점</t>
  </si>
  <si>
    <t>음식점&gt;마라탕</t>
  </si>
  <si>
    <t>지역성: 대전; 최근 12개월 블로그 74건</t>
  </si>
  <si>
    <t>대전광역시 동구 용운동 295-10 1층</t>
  </si>
  <si>
    <t>대전광역시 동구 용운로 159-1 1층</t>
  </si>
  <si>
    <t>용운동 맛집 | 용운동 중식</t>
  </si>
  <si>
    <t>연탄길</t>
  </si>
  <si>
    <t>최근 12개월 블로그 40건</t>
  </si>
  <si>
    <t>대전광역시 동구 효동 256-10 1층 연탄길</t>
  </si>
  <si>
    <t>대전광역시 동구 대전로 621 1층 연탄길</t>
  </si>
  <si>
    <t>용운동 노포 | 판암동 노포</t>
  </si>
  <si>
    <t>쌍청고기마을 대전한우</t>
  </si>
  <si>
    <t>대전광역시 동구 판암동 527-7 쌍청고기마을 대전한우</t>
  </si>
  <si>
    <t>대전광역시 동구 동부로33번길 46-62 쌍청고기마을 대전한우</t>
  </si>
  <si>
    <t>판암동 맛집 | 판암동 한식</t>
  </si>
  <si>
    <t>호돌이만두</t>
  </si>
  <si>
    <t>대전광역시 동구 신안동 313-7</t>
  </si>
  <si>
    <t>대전광역시 동구 솜2길 4</t>
  </si>
  <si>
    <t>샤브마니아 대전용운점</t>
  </si>
  <si>
    <t>대전광역시 동구 용운동 709 1층</t>
  </si>
  <si>
    <t>대전광역시 동구 백룡로 75-48 1층</t>
  </si>
  <si>
    <t>용운동 맛집 | 용운동 일식</t>
  </si>
  <si>
    <t>금성삼계탕</t>
  </si>
  <si>
    <t>최근 12개월 블로그 97건</t>
  </si>
  <si>
    <t>대전광역시 동구 중동 32-14</t>
  </si>
  <si>
    <t>대전광역시 동구 선화로196번길 44</t>
  </si>
  <si>
    <t>대전역 삼계탕 | 대전역 한식 | 소제동 삼계탕</t>
  </si>
  <si>
    <t>동평소국밥 본점</t>
  </si>
  <si>
    <t>대전광역시 동구 판암동 461</t>
  </si>
  <si>
    <t>대전광역시 동구 동구청로203번길 36</t>
  </si>
  <si>
    <t>판암동 국밥</t>
  </si>
  <si>
    <t>미도리카레</t>
  </si>
  <si>
    <t>음식점&gt;일식&gt;카레</t>
  </si>
  <si>
    <t>대전광역시 동구 소제동 299-413 1층</t>
  </si>
  <si>
    <t>대전광역시 동구 수향길 75 1층</t>
  </si>
  <si>
    <t>소제동 맛집 | 소제동 일식</t>
  </si>
  <si>
    <t>왕돈가스 대전대남문점</t>
  </si>
  <si>
    <t>대전광역시 동구 용운동 174-15</t>
  </si>
  <si>
    <t>대전광역시 동구 용운로147번길 83</t>
  </si>
  <si>
    <t>용운동 일식</t>
  </si>
  <si>
    <t>등불회관 대전판암동점</t>
  </si>
  <si>
    <t>대전광역시 동구 판암동 490-20 1층 등불회관</t>
  </si>
  <si>
    <t>대전광역시 동구 옥천로 139 1층 등불회관</t>
  </si>
  <si>
    <t>판암동 칼국수</t>
  </si>
  <si>
    <t>조기종의향미각</t>
  </si>
  <si>
    <t>대전광역시 동구 용운동 316-8</t>
  </si>
  <si>
    <t>대전광역시 동구 동부로 89</t>
  </si>
  <si>
    <t>후루룩대전</t>
  </si>
  <si>
    <t>대전광역시 동구 소제동 299-32</t>
  </si>
  <si>
    <t>대전광역시 동구 철갑2길 16</t>
  </si>
  <si>
    <t>소제동 한식</t>
  </si>
  <si>
    <t>달인김밥천국</t>
  </si>
  <si>
    <t>대전광역시 동구 용운동 175-3 102호</t>
  </si>
  <si>
    <t>대전광역시 동구 새울로 143 102호</t>
  </si>
  <si>
    <t>용운동 냉면 | 용운동 분식</t>
  </si>
  <si>
    <t>왕돈까스</t>
  </si>
  <si>
    <t>대전광역시 동구 용운동 96-3 대전대학교</t>
  </si>
  <si>
    <t>대전광역시 동구 대학로 62 대전대학교</t>
  </si>
  <si>
    <t>이순신소국밥 용운장군점</t>
  </si>
  <si>
    <t>대전광역시 동구 용운동 666</t>
  </si>
  <si>
    <t>대전광역시 동구 대학로50번길 22-26</t>
  </si>
  <si>
    <t>용운동 국밥 | 용운동 한식 | 판암동 국밥</t>
  </si>
  <si>
    <t>장군뒷고기 대전본점</t>
  </si>
  <si>
    <t>대전광역시 동구 용운동 293-8 1층 장군뒷고기 대전본점</t>
  </si>
  <si>
    <t>대전광역시 동구 용운로 129 1층 장군뒷고기 대전본점</t>
  </si>
  <si>
    <t>용운동 고기</t>
  </si>
  <si>
    <t>대전감자탕</t>
  </si>
  <si>
    <t>한식&gt;감자탕</t>
  </si>
  <si>
    <t>대전광역시 동구 판암동 870</t>
  </si>
  <si>
    <t>대전광역시 동구 옥천로 187</t>
  </si>
  <si>
    <t>띵호와반점</t>
  </si>
  <si>
    <t>대전광역시 동구 용운동 450-11</t>
  </si>
  <si>
    <t>대전광역시 동구 계족로140번길 150</t>
  </si>
  <si>
    <t>용운동 중식 | 용운동 해산물</t>
  </si>
  <si>
    <t>장가네대구왕뽈떼기 대전본점</t>
  </si>
  <si>
    <t>대전광역시 동구 성남동 73-3</t>
  </si>
  <si>
    <t>대전광역시 동구 계족로 309-1</t>
  </si>
  <si>
    <t>소제동 해산물</t>
  </si>
  <si>
    <t>중앙해물칼국수</t>
  </si>
  <si>
    <t>대전광역시 동구 중동 28-46</t>
  </si>
  <si>
    <t>대전광역시 동구 대전로791번길 40</t>
  </si>
  <si>
    <t>대전역 두부두루치기</t>
  </si>
  <si>
    <t>굴세상 원동점</t>
  </si>
  <si>
    <t>대전광역시 동구 원동 46-5 1층</t>
  </si>
  <si>
    <t>대전광역시 동구 중교로 130-8 1층</t>
  </si>
  <si>
    <t>대전역 국밥 | 대전역 냉면 | 대전역 해산물</t>
  </si>
  <si>
    <t>김밥천국 대전역점</t>
  </si>
  <si>
    <t>지역성: 대전; 최근 12개월 블로그 11건</t>
  </si>
  <si>
    <t>대전광역시 동구 정동 17-8</t>
  </si>
  <si>
    <t>대전광역시 동구 대전로 814</t>
  </si>
  <si>
    <t>대전역 분식</t>
  </si>
  <si>
    <t>나도야막창구이</t>
  </si>
  <si>
    <t>대전광역시 동구 용운동 451-25 1층 나도야막창구이</t>
  </si>
  <si>
    <t>대전광역시 동구 계족로140번길 178 1층 나도야막창구이</t>
  </si>
  <si>
    <t>용운동 고기 | 용운동 맛집 | 용운동 한식</t>
  </si>
  <si>
    <t>동북아</t>
  </si>
  <si>
    <t>대전광역시 동구 소제동 299-357 1층</t>
  </si>
  <si>
    <t>대전광역시 동구 철갑길 45 1층</t>
  </si>
  <si>
    <t>소제동 중식</t>
  </si>
  <si>
    <t>에이스분식</t>
  </si>
  <si>
    <t>최근 12개월 블로그 60건</t>
  </si>
  <si>
    <t>대전광역시 동구 중동 82-8 라동 1층</t>
  </si>
  <si>
    <t>대전광역시 동구 대전로785번길 50 라동 1층</t>
  </si>
  <si>
    <t>대전역 분식 | 소제동 분식</t>
  </si>
  <si>
    <t>옥천식당</t>
  </si>
  <si>
    <t>대전광역시 동구 중동 81-6</t>
  </si>
  <si>
    <t>대전광역시 동구 대전로791번길 29</t>
  </si>
  <si>
    <t>일상</t>
  </si>
  <si>
    <t>술집&gt;이자카야</t>
  </si>
  <si>
    <t>대전광역시 동구 용운동 294-14 1층 일상</t>
  </si>
  <si>
    <t>대전광역시 동구 용운로 143 1층 일상</t>
  </si>
  <si>
    <t>한마음정육식당 대전판암점</t>
  </si>
  <si>
    <t>대전광역시 동구 판암동 840 1층</t>
  </si>
  <si>
    <t>대전광역시 동구 동부로10번길 5 1층</t>
  </si>
  <si>
    <t>해정손칼국수</t>
  </si>
  <si>
    <t>지역성: 칼국수; 최근 12개월 블로그 11건</t>
  </si>
  <si>
    <t>대전광역시 동구 판암동 214-5 1층</t>
  </si>
  <si>
    <t>대전광역시 동구 판암로 25 1층</t>
  </si>
  <si>
    <t>투데이유통</t>
  </si>
  <si>
    <t>대전광역시 동구 용운동 598</t>
  </si>
  <si>
    <t>대전광역시 동구 대학로 102-7</t>
  </si>
  <si>
    <t>가양막창</t>
  </si>
  <si>
    <t>대전광역시 동구 가양동 414-8 가양막창</t>
  </si>
  <si>
    <t>대전광역시 동구 동대전로 277 가양막창</t>
  </si>
  <si>
    <t>용운동 노포</t>
  </si>
  <si>
    <t>대전한우</t>
  </si>
  <si>
    <t>대전광역시 동구 중동 21-9</t>
  </si>
  <si>
    <t>대전광역시 동구 태전로 11</t>
  </si>
  <si>
    <t>대전역 냉면</t>
  </si>
  <si>
    <t>또또네</t>
  </si>
  <si>
    <t>대전광역시 동구 중동 28-4 1층</t>
  </si>
  <si>
    <t>대전광역시 동구 대전로791번길 42-2 1층</t>
  </si>
  <si>
    <t>대전역 고기 | 대전역 칼국수 | 대전역 해산물</t>
  </si>
  <si>
    <t>림춘&amp;비범 가맹사업본부</t>
  </si>
  <si>
    <t>대전광역시 동구 소제동 299-87 림춘비범가맹본부</t>
  </si>
  <si>
    <t>대전광역시 동구 수향길 89 림춘비범가맹본부</t>
  </si>
  <si>
    <t>소제동 중식 | 소제동 한식</t>
  </si>
  <si>
    <t>부여순대</t>
  </si>
  <si>
    <t>대전광역시 동구 판암동 490-4</t>
  </si>
  <si>
    <t>대전광역시 동구 동부로 5-3</t>
  </si>
  <si>
    <t>신선 칼국수</t>
  </si>
  <si>
    <t>대전광역시 동구 대동 178-4 신선칼국수</t>
  </si>
  <si>
    <t>대전광역시 동구 계족로 188 신선칼국수</t>
  </si>
  <si>
    <t>양은이네 대전용운동점</t>
  </si>
  <si>
    <t>대전광역시 동구 용운동 274-2 1층</t>
  </si>
  <si>
    <t>대전광역시 동구 동부로 167 1층</t>
  </si>
  <si>
    <t>예담생선직화구이</t>
  </si>
  <si>
    <t>한식&gt;생선구이</t>
  </si>
  <si>
    <t>대전광역시 동구 용운동 282-11 1층</t>
  </si>
  <si>
    <t>대전광역시 동구 새울로109번길 8-2 1층</t>
  </si>
  <si>
    <t>용운동 해산물</t>
  </si>
  <si>
    <t>정동불고기</t>
  </si>
  <si>
    <t>대전광역시 동구 중동 63-1 1층</t>
  </si>
  <si>
    <t>대전광역시 동구 중앙로203번길 15 1층</t>
  </si>
  <si>
    <t>대전역 고기 | 대전역 맛집 | 대전역 한식</t>
  </si>
  <si>
    <t>강릉칼국수</t>
  </si>
  <si>
    <t>대전광역시 동구 자양동 192-17 1층</t>
  </si>
  <si>
    <t>대전광역시 동구 백룡로57번길 182 1층</t>
  </si>
  <si>
    <t>진주냉면 본점 성남점</t>
  </si>
  <si>
    <t>대전광역시 동구 성남동 77-5 진주냉면</t>
  </si>
  <si>
    <t>대전광역시 동구 우암로 156 진주냉면</t>
  </si>
  <si>
    <t>소제동 냉면</t>
  </si>
  <si>
    <t>강청골순대국밥 판암점</t>
  </si>
  <si>
    <t>곰수산 판암 본점</t>
  </si>
  <si>
    <t>지역성: 본점; 최근 12개월 블로그 31건</t>
  </si>
  <si>
    <t>대전광역시 동구 판암동 351 1층</t>
  </si>
  <si>
    <t>대전광역시 동구 판암로 17 1층</t>
  </si>
  <si>
    <t>판암동 한식</t>
  </si>
  <si>
    <t>김밥사랑</t>
  </si>
  <si>
    <t>대전광역시 동구 용운동 304-20</t>
  </si>
  <si>
    <t>대전광역시 동구 새울로 102</t>
  </si>
  <si>
    <t>용운동 분식</t>
  </si>
  <si>
    <t>산내음</t>
  </si>
  <si>
    <t>최근 12개월 블로그 11건</t>
  </si>
  <si>
    <t>대전광역시 동구 용운동 436-1</t>
  </si>
  <si>
    <t>대전광역시 동구 백룡로 133</t>
  </si>
  <si>
    <t>용운동 삼계탕</t>
  </si>
  <si>
    <t>시골손칼국수</t>
  </si>
  <si>
    <t>대전광역시 동구 판암동 239</t>
  </si>
  <si>
    <t>대전광역시 동구 동부로 56-7</t>
  </si>
  <si>
    <t>갑부본가 돼지갈비</t>
  </si>
  <si>
    <t>대전광역시 동구 성남동 506-4 1층 갑부본가</t>
  </si>
  <si>
    <t>대전광역시 동구 동서대로 1614 1층 갑부본가</t>
  </si>
  <si>
    <t>본 죽&amp;비빔밥 대전용운점</t>
  </si>
  <si>
    <t>지역성: 대전; 최근 12개월 블로그 63건</t>
  </si>
  <si>
    <t>대전광역시 동구 용운동 431-7 본 죽&amp;비빔밥 대전용운점</t>
  </si>
  <si>
    <t>대전광역시 동구 계족로140번길 191 본 죽&amp;비빔밥 대전용운점</t>
  </si>
  <si>
    <t>본 죽&amp;비빔밥 대전판암점</t>
  </si>
  <si>
    <t>지역성: 대전; 최근 12개월 블로그 58건</t>
  </si>
  <si>
    <t>대전광역시 동구 판암동 323-4 1층</t>
  </si>
  <si>
    <t>대전광역시 동구 옥천로 168 1층</t>
  </si>
  <si>
    <t>국밥 참 맛있는 집 대전대동점</t>
  </si>
  <si>
    <t>음식점&gt;한식&gt;국밥</t>
  </si>
  <si>
    <t>지역성: 대전; 최근 12개월 블로그 33건</t>
  </si>
  <si>
    <t>대전광역시 동구 대동 79-17 1층</t>
  </si>
  <si>
    <t>대전광역시 동구 동대전로 88-3 1층</t>
  </si>
  <si>
    <t>수연분식</t>
  </si>
  <si>
    <t>대전광역시 동구 원동 63-76</t>
  </si>
  <si>
    <t>대전광역시 동구 대전로785번길 51</t>
  </si>
  <si>
    <t>카레약방</t>
  </si>
  <si>
    <t>대전광역시 동구 중동 22-15 1층</t>
  </si>
  <si>
    <t>대전광역시 동구 중앙로203번길 32 1층</t>
  </si>
  <si>
    <t>대전역 맛집 | 대전역 일식</t>
  </si>
  <si>
    <t>판암회관</t>
  </si>
  <si>
    <t>최근 12개월 블로그 87건</t>
  </si>
  <si>
    <t>대전광역시 동구 판암동 465-2</t>
  </si>
  <si>
    <t>대전광역시 동구 옥천로 138</t>
  </si>
  <si>
    <t>독도해물알찜 대전용운점</t>
  </si>
  <si>
    <t>한식&gt;아귀찜,해물찜</t>
  </si>
  <si>
    <t>지역성: 대전; 최근 12개월 블로그 17건</t>
  </si>
  <si>
    <t>대전광역시 동구 용운동 352-7</t>
  </si>
  <si>
    <t>대전광역시 동구 새울로91번길 2</t>
  </si>
  <si>
    <t>동해아구찜탕</t>
  </si>
  <si>
    <t>대전광역시 동구 중동 25-2</t>
  </si>
  <si>
    <t>대전광역시 동구 대전로813번길 45</t>
  </si>
  <si>
    <t>대전역 해산물</t>
  </si>
  <si>
    <t>미소야 대전역점</t>
  </si>
  <si>
    <t>지역성: 대전; 최근 12개월 블로그 32건</t>
  </si>
  <si>
    <t>대전광역시 동구 정동 26-7</t>
  </si>
  <si>
    <t>대전광역시 동구 대전로 811-1</t>
  </si>
  <si>
    <t>대전역 일식</t>
  </si>
  <si>
    <t>용운축산물도매센타</t>
  </si>
  <si>
    <t>쇼핑,유통&gt;정육점</t>
  </si>
  <si>
    <t>최근 12개월 블로그 55건</t>
  </si>
  <si>
    <t>대전광역시 동구 용운동 305-10 1층 용운축산물도매센타</t>
  </si>
  <si>
    <t>대전광역시 동구 새울로 103 1층 용운축산물도매센타</t>
  </si>
  <si>
    <t>생일집</t>
  </si>
  <si>
    <t>대전광역시 동구 중동 82-11</t>
  </si>
  <si>
    <t>대전역 국밥 | 소제동 국밥</t>
  </si>
  <si>
    <t>석정뼈대가</t>
  </si>
  <si>
    <t>최근 12개월 블로그 3건</t>
  </si>
  <si>
    <t>대전광역시 동구 소제동 299-121</t>
  </si>
  <si>
    <t>대전광역시 동구 계족로 257-5</t>
  </si>
  <si>
    <t>소제동 고기 | 소제동 한식</t>
  </si>
  <si>
    <t>우리수산</t>
  </si>
  <si>
    <t>대전광역시 동구 용운동 305-10 우리수산</t>
  </si>
  <si>
    <t>대전광역시 동구 새울로 103 우리수산</t>
  </si>
  <si>
    <t>위대한조개전골</t>
  </si>
  <si>
    <t>대전광역시 동구 용운동 660-1 1층 위대한조개전골</t>
  </si>
  <si>
    <t>대전광역시 동구 대학로 38 1층 위대한조개전골</t>
  </si>
  <si>
    <t>용운동 칼국수 | 용운동 해산물</t>
  </si>
  <si>
    <t>토우</t>
  </si>
  <si>
    <t>대전광역시 동구 원동 48-1</t>
  </si>
  <si>
    <t>대전광역시 동구 대전로 771</t>
  </si>
  <si>
    <t>송림식당</t>
  </si>
  <si>
    <t>대전광역시 동구 원동 41-6 2층 송림식당</t>
  </si>
  <si>
    <t>대전광역시 동구 대전로 767-9 2층 송림식당</t>
  </si>
  <si>
    <t>대전역 노포</t>
  </si>
  <si>
    <t>스모크힐</t>
  </si>
  <si>
    <t>대전광역시 동구 판암동 1-22 스모크힐</t>
  </si>
  <si>
    <t>대전광역시 동구 옥천로 265 스모크힐</t>
  </si>
  <si>
    <t>역전뜨끈이뼈구이</t>
  </si>
  <si>
    <t>대전광역시 동구 정동 14-14 1층</t>
  </si>
  <si>
    <t>대전광역시 동구 대전로 825 1층</t>
  </si>
  <si>
    <t>대전역 한식</t>
  </si>
  <si>
    <t>효자한식뷔페</t>
  </si>
  <si>
    <t>대전광역시 동구 중동 56-1 1층</t>
  </si>
  <si>
    <t>대전광역시 동구 대전로813번길 49 1층</t>
  </si>
  <si>
    <t>대전역 고기</t>
  </si>
  <si>
    <t>김굽는남자들</t>
  </si>
  <si>
    <t>대전광역시 동구 원동 63-4 1층</t>
  </si>
  <si>
    <t>대전광역시 동구 대전천동로 534 1층</t>
  </si>
  <si>
    <t>만석코다리조림불쭈꾸미</t>
  </si>
  <si>
    <t>최근 12개월 블로그 96건</t>
  </si>
  <si>
    <t>대전광역시 동구 판암동 294-1 1층</t>
  </si>
  <si>
    <t>대전광역시 동구 새울로 8 1층</t>
  </si>
  <si>
    <t>만포분식</t>
  </si>
  <si>
    <t>대전광역시 동구 홍도동 72-32 만포분식</t>
  </si>
  <si>
    <t>대전광역시 동구 한남로7번길 89 만포분식</t>
  </si>
  <si>
    <t>소제동 분식</t>
  </si>
  <si>
    <t>친친양꼬치</t>
  </si>
  <si>
    <t>최근 12개월 블로그 54건</t>
  </si>
  <si>
    <t>대전광역시 동구 정동 13-7</t>
  </si>
  <si>
    <t>대전광역시 동구 대전로815번길 32</t>
  </si>
  <si>
    <t>대전역 중식</t>
  </si>
  <si>
    <t>순옥이네</t>
  </si>
  <si>
    <t>최근 12개월 블로그 15건</t>
  </si>
  <si>
    <t>대전광역시 동구 원동 49-14 1층 순옥이네</t>
  </si>
  <si>
    <t>대전광역시 동구 중앙로204번길 51 1층 순옥이네</t>
  </si>
  <si>
    <t>싱싱횟집</t>
  </si>
  <si>
    <t>대전광역시 동구 가양동 435-21</t>
  </si>
  <si>
    <t>대전광역시 동구 동대전로283번길 52</t>
  </si>
  <si>
    <t>역전우동0410 대전역점</t>
  </si>
  <si>
    <t>지역성: 대전; 최근 12개월 블로그 6건</t>
  </si>
  <si>
    <t>대전광역시 동구 정동 17-1</t>
  </si>
  <si>
    <t>대전광역시 동구 대전로 812</t>
  </si>
  <si>
    <t>열린동남순대</t>
  </si>
  <si>
    <t>대전광역시 동구 판암동 547-20</t>
  </si>
  <si>
    <t>대전광역시 동구 옻밭5길 39</t>
  </si>
  <si>
    <t>윤성범보쌈칼국수</t>
  </si>
  <si>
    <t>대전광역시 동구 용운동 725</t>
  </si>
  <si>
    <t>대전광역시 동구 백룡로 68</t>
  </si>
  <si>
    <t>용운동 칼국수</t>
  </si>
  <si>
    <t>팔진향</t>
  </si>
  <si>
    <t>최근 12개월 블로그 52건</t>
  </si>
  <si>
    <t>대전광역시 동구 용운동 623 1층</t>
  </si>
  <si>
    <t>대전광역시 동구 대학로 59 1층</t>
  </si>
  <si>
    <t>용운동 중식</t>
  </si>
  <si>
    <t>한마음식당</t>
  </si>
  <si>
    <t>대전광역시 동구 소제동 299-371</t>
  </si>
  <si>
    <t>대전광역시 동구 대동천좌안5길 5</t>
  </si>
  <si>
    <t>광천순대</t>
  </si>
  <si>
    <t>대전광역시 동구 인동 30-2</t>
  </si>
  <si>
    <t>대전광역시 동구 대전천동로 452-1</t>
  </si>
  <si>
    <t>소제동 국밥</t>
  </si>
  <si>
    <t>맛골</t>
  </si>
  <si>
    <t>최근 12개월 블로그 5건</t>
  </si>
  <si>
    <t>대전광역시 동구 용운동 290-14</t>
  </si>
  <si>
    <t>대전광역시 동구 용운로147번길 6</t>
  </si>
  <si>
    <t>용운동 국밥</t>
  </si>
  <si>
    <t>남도수산</t>
  </si>
  <si>
    <t>대전광역시 동구 용운동 351-1</t>
  </si>
  <si>
    <t>대전광역시 동구 새울로91번길 14-22</t>
  </si>
  <si>
    <t>백라면</t>
  </si>
  <si>
    <t>분식&gt;라면</t>
  </si>
  <si>
    <t>최근 12개월 블로그 2건</t>
  </si>
  <si>
    <t>대전광역시 동구 소제동 309-3</t>
  </si>
  <si>
    <t>대전광역시 동구 계족로 277-1</t>
  </si>
  <si>
    <t>얼큰이칼국수 소제점</t>
  </si>
  <si>
    <t>지역성: 칼국수; 최근 12개월 블로그 1건</t>
  </si>
  <si>
    <t>대전광역시 동구 소제동 299-350</t>
  </si>
  <si>
    <t>대전광역시 동구 철갑길 3</t>
  </si>
  <si>
    <t>소제동 칼국수 | 소제동 한식</t>
  </si>
  <si>
    <t>일구구공식당</t>
  </si>
  <si>
    <t>대전광역시 동구 정동 26-26 1층</t>
  </si>
  <si>
    <t>대전광역시 동구 대전로813번길 3 1층</t>
  </si>
  <si>
    <t>대전역 국밥</t>
  </si>
  <si>
    <t>겐로쿠 대전역점</t>
  </si>
  <si>
    <t>지역성: 대전; 최근 12개월 블로그 1건</t>
  </si>
  <si>
    <t>대전광역시 동구 정동 1-1 대전역 1층</t>
  </si>
  <si>
    <t>대전광역시 동구 중앙로 215 대전역 1층</t>
  </si>
  <si>
    <t>손의손 본점</t>
  </si>
  <si>
    <t>대전광역시 서구 둔산동 1182 송전빌딩 101호 손의손 본점</t>
  </si>
  <si>
    <t>대전광역시 서구 둔산남로9번길 99 송전빌딩 101호 손의손 본점</t>
  </si>
  <si>
    <t>둔산동 고기 | 둔산동 냉면 | 둔산동 맛집 | 둔산동 칼국수 | 둔산동 한식 | 둔산동 해산물</t>
  </si>
  <si>
    <t>벽돌곱창 시청본점</t>
  </si>
  <si>
    <t>대전광역시 서구 둔산동 1453 1층 122호</t>
  </si>
  <si>
    <t>대전광역시 서구 둔산로 130 1층 122호</t>
  </si>
  <si>
    <t>둔산동 고기 | 둔산동 맛집 | 둔산동 칼국수 | 둔산동 한식</t>
  </si>
  <si>
    <t>뼈칼집 대전둔산점</t>
  </si>
  <si>
    <t>대전광역시 서구 둔산동 1462 1층 101호</t>
  </si>
  <si>
    <t>대전광역시 서구 둔산중로58번길 29 1층 101호</t>
  </si>
  <si>
    <t>몽상 대전둔산본점</t>
  </si>
  <si>
    <t>대전광역시 서구 둔산동 1015 102호</t>
  </si>
  <si>
    <t>대전광역시 서구 둔산로31번길 10-35 102호</t>
  </si>
  <si>
    <t>둔산동 고기 | 둔산동 일식</t>
  </si>
  <si>
    <t>보끄미 대전점</t>
  </si>
  <si>
    <t>한식&gt;주꾸미요리</t>
  </si>
  <si>
    <t>지역성: 대전; 최근 12개월 블로그 8건</t>
  </si>
  <si>
    <t>대전광역시 서구 둔산동 1352 둔산의 아침 201호</t>
  </si>
  <si>
    <t>대전광역시 서구 대덕대로242번길 15 둔산의 아침 201호</t>
  </si>
  <si>
    <t>둔산동 맛집 | 둔산동 칼국수 | 둔산동 한식 | 둔산동 해산물</t>
  </si>
  <si>
    <t>대선칼국수 본점</t>
  </si>
  <si>
    <t>대전광역시 서구 둔산동 1440 오성빌딩 2층 대선칼국수</t>
  </si>
  <si>
    <t>대전광역시 서구 둔산중로40번길 28 오성빌딩 2층 대선칼국수</t>
  </si>
  <si>
    <t>둔산동 두부두루치기 | 둔산동 칼국수</t>
  </si>
  <si>
    <t>불타는쪽갈비 대전둔산본점</t>
  </si>
  <si>
    <t>대전광역시 서구 둔산동 981 갤러리타워</t>
  </si>
  <si>
    <t>대전광역시 서구 둔지로 36 갤러리타워</t>
  </si>
  <si>
    <t>둔산동 중식 | 둔산동 칼국수</t>
  </si>
  <si>
    <t>쪽갈비 본점</t>
  </si>
  <si>
    <t>대전광역시 서구 갈마동 1054 1층</t>
  </si>
  <si>
    <t>대전광역시 서구 대덕대로 157 1층</t>
  </si>
  <si>
    <t>갈마동 냉면 | 갈마동 노포</t>
  </si>
  <si>
    <t>공주칼국수</t>
  </si>
  <si>
    <t>대전광역시 서구 갈마동 379-18 1층</t>
  </si>
  <si>
    <t>대전광역시 서구 갈마로 72-1 1층</t>
  </si>
  <si>
    <t>갈마동 두부두루치기 | 갈마동 칼국수</t>
  </si>
  <si>
    <t>별달돈까스 대전둔산점</t>
  </si>
  <si>
    <t>대전광역시 서구 둔산동 1056 2층</t>
  </si>
  <si>
    <t>대전광역시 서구 둔산로 30 2층</t>
  </si>
  <si>
    <t>둔산동 맛집 | 둔산동 일식</t>
  </si>
  <si>
    <t>갈비만 대전점</t>
  </si>
  <si>
    <t>대전광역시 서구 갈마동 291-14 1층</t>
  </si>
  <si>
    <t>대전광역시 서구 계룡로 338 1층</t>
  </si>
  <si>
    <t>갈마동 맛집 | 갈마동 한식</t>
  </si>
  <si>
    <t>녹수청산 대전시청본점</t>
  </si>
  <si>
    <t>대전광역시 서구 둔산동 1210 2층</t>
  </si>
  <si>
    <t>대전광역시 서구 둔산로74번길 27 2층</t>
  </si>
  <si>
    <t>둔산동 삼계탕</t>
  </si>
  <si>
    <t>산오징어비빔회양푼무침 대전본점</t>
  </si>
  <si>
    <t>대전광역시 서구 둔산동 1056</t>
  </si>
  <si>
    <t>대전광역시 서구 둔산로 30</t>
  </si>
  <si>
    <t>둔산동 노포</t>
  </si>
  <si>
    <t>24시순대족발 본점</t>
  </si>
  <si>
    <t>대전광역시 서구 갈마동 379-8</t>
  </si>
  <si>
    <t>대전광역시 서구 갈마로 82</t>
  </si>
  <si>
    <t>갈마동 국밥</t>
  </si>
  <si>
    <t>가마솥보은순대</t>
  </si>
  <si>
    <t>대전광역시 서구 갈마동 432-6 인터빌아파트</t>
  </si>
  <si>
    <t>대전광역시 서구 신갈마로 58-17 인터빌아파트</t>
  </si>
  <si>
    <t>갈마동 국밥 | 갈마동 한식</t>
  </si>
  <si>
    <t>토종골옻닭마을 대전본점</t>
  </si>
  <si>
    <t>한식&gt;닭요리</t>
  </si>
  <si>
    <t>지역성: 본점, 대전; 최근 12개월 블로그 13건</t>
  </si>
  <si>
    <t>대전광역시 서구 갈마동 905</t>
  </si>
  <si>
    <t>대전광역시 서구 갈마역로 3</t>
  </si>
  <si>
    <t>갈마동 삼계탕</t>
  </si>
  <si>
    <t>유원옥</t>
  </si>
  <si>
    <t>대전광역시 서구 둔산동 1391 104호 유원옥</t>
  </si>
  <si>
    <t>대전광역시 서구 둔산로137번길 44 104호 유원옥</t>
  </si>
  <si>
    <t>둔산동 국밥 | 둔산동 냉면 | 둔산동 해산물</t>
  </si>
  <si>
    <t>대전광역시 서구 갈마동 337-5</t>
  </si>
  <si>
    <t>대전광역시 서구 신갈마로 179</t>
  </si>
  <si>
    <t>떡반집 본점</t>
  </si>
  <si>
    <t>대전광역시 서구 둔산동 1091 밀레니엄프라자 1층 109호</t>
  </si>
  <si>
    <t>대전광역시 서구 둔산로 8 밀레니엄프라자 1층 109호</t>
  </si>
  <si>
    <t>둔산동 분식</t>
  </si>
  <si>
    <t>사리원 본점</t>
  </si>
  <si>
    <t>대전광역시 서구 둔산동 968 사리원 2층</t>
  </si>
  <si>
    <t>대전광역시 서구 둔산로31번길 77 사리원 2층</t>
  </si>
  <si>
    <t>둔산동 냉면</t>
  </si>
  <si>
    <t>글로벌살수</t>
  </si>
  <si>
    <t>지역성: 향토; 최근 12개월 블로그 70건</t>
  </si>
  <si>
    <t>대전광역시 서구 월평동 1180 505</t>
  </si>
  <si>
    <t>대전광역시 서구 월평서로 11 505</t>
  </si>
  <si>
    <t>갈마동 향토음식</t>
  </si>
  <si>
    <t>둔산공주칼국수</t>
  </si>
  <si>
    <t>지역성: 칼국수; 최근 12개월 블로그 56건</t>
  </si>
  <si>
    <t>대전광역시 서구 둔산동 963 대영프라자 132호</t>
  </si>
  <si>
    <t>대전광역시 서구 둔산북로 36 대영프라자 132호</t>
  </si>
  <si>
    <t>둔산동 두부두루치기</t>
  </si>
  <si>
    <t>대전광역시 서구 둔산동 1199 1층</t>
  </si>
  <si>
    <t>대전광역시 서구 둔산남로9번길 37 1층</t>
  </si>
  <si>
    <t>이태리국시 대전</t>
  </si>
  <si>
    <t>대전광역시 서구 둔산동 990 2층</t>
  </si>
  <si>
    <t>대전광역시 서구 둔산로31번길 31 2층</t>
  </si>
  <si>
    <t>둔산동 맛집</t>
  </si>
  <si>
    <t>홍두깨생칼국수</t>
  </si>
  <si>
    <t>지역성: 칼국수; 최근 12개월 블로그 6건</t>
  </si>
  <si>
    <t>대전광역시 서구 갈마동 427-49</t>
  </si>
  <si>
    <t>대전광역시 서구 신갈마로127번길 153</t>
  </si>
  <si>
    <t>고깃리88번지 대전둔산점</t>
  </si>
  <si>
    <t>대전광역시 서구 둔산동 1098 1층</t>
  </si>
  <si>
    <t>대전광역시 서구 대덕대로185번길 63 1층</t>
  </si>
  <si>
    <t>공주칼국수쭈꾸미구이 둔산점</t>
  </si>
  <si>
    <t>지역성: 칼국수; 최근 12개월 블로그 25건</t>
  </si>
  <si>
    <t>대전광역시 서구 둔산동 915 청사오피스텔1층 102호</t>
  </si>
  <si>
    <t>대전광역시 서구 청사로 228 청사오피스텔1층 102호</t>
  </si>
  <si>
    <t>데판유우</t>
  </si>
  <si>
    <t>최근 12개월 블로그 49건</t>
  </si>
  <si>
    <t>대전광역시 서구 둔산동 1100 1층 데판유우</t>
  </si>
  <si>
    <t>대전광역시 서구 대덕대로185번길 53 1층 데판유우</t>
  </si>
  <si>
    <t>둔산동 해산물</t>
  </si>
  <si>
    <t>두부사랑</t>
  </si>
  <si>
    <t>한식&gt;두부요리</t>
  </si>
  <si>
    <t>대전광역시 서구 갈마동 427-51</t>
  </si>
  <si>
    <t>대전광역시 서구 신갈마로127번길 157</t>
  </si>
  <si>
    <t>갈마동 두부두루치기</t>
  </si>
  <si>
    <t>서울깍두기 대전시청점</t>
  </si>
  <si>
    <t>대전광역시 서구 둔산동 1453 1층 112,113호</t>
  </si>
  <si>
    <t>대전광역시 서구 둔산로 130 1층 112,113호</t>
  </si>
  <si>
    <t>옥천뼈구이 농민뜨끈이 갈마점</t>
  </si>
  <si>
    <t>대전광역시 서구 갈마동 339-3 101, 102호</t>
  </si>
  <si>
    <t>대전광역시 서구 갈마로 39 101, 102호</t>
  </si>
  <si>
    <t>갈마동 한식</t>
  </si>
  <si>
    <t>키츠네유부 대전둔산점</t>
  </si>
  <si>
    <t>대전광역시 서구 둔산동 1453 1층 120호 키츠네유부 대전시청점</t>
  </si>
  <si>
    <t>대전광역시 서구 둔산로 130 1층 120호 키츠네유부 대전시청점</t>
  </si>
  <si>
    <t>둔산동 일식</t>
  </si>
  <si>
    <t>대전광역시 서구 둔산동 1005</t>
  </si>
  <si>
    <t>대전광역시 서구 둔산로31번길 52</t>
  </si>
  <si>
    <t>둔산동 국밥</t>
  </si>
  <si>
    <t>고집불통신닭발 본점</t>
  </si>
  <si>
    <t>한식&gt;닭발</t>
  </si>
  <si>
    <t>지역성: 본점; 최근 12개월 블로그 30건</t>
  </si>
  <si>
    <t>대전광역시 서구 둔산동 1828</t>
  </si>
  <si>
    <t>대전광역시 서구 문정로170번길 192</t>
  </si>
  <si>
    <t>광장포차</t>
  </si>
  <si>
    <t>술집&gt;포장마차</t>
  </si>
  <si>
    <t>대전광역시 서구 둔산동 1105-1 1층 광장포차</t>
  </si>
  <si>
    <t>대전광역시 서구 대덕대로185번길 23 1층 광장포차</t>
  </si>
  <si>
    <t>보배반점 대전둔산점</t>
  </si>
  <si>
    <t>대전광역시 서구 둔산동 1491 1층</t>
  </si>
  <si>
    <t>대전광역시 서구 둔산남로105번길 22 1층</t>
  </si>
  <si>
    <t>둔산동 중식</t>
  </si>
  <si>
    <t>앞산큰골집 대전둔산점</t>
  </si>
  <si>
    <t>대전광역시 서구 둔산동 1176 1층</t>
  </si>
  <si>
    <t>대전광역시 서구 둔산로 72 1층</t>
  </si>
  <si>
    <t>둔산동 맛집 | 둔산동 한식</t>
  </si>
  <si>
    <t>통통식당</t>
  </si>
  <si>
    <t>대전광역시 서구 갈마동 263-39</t>
  </si>
  <si>
    <t>대전광역시 서구 계룡로349번길 22</t>
  </si>
  <si>
    <t>갈마동김한돈</t>
  </si>
  <si>
    <t>대전광역시 서구 갈마동 1071</t>
  </si>
  <si>
    <t>대전광역시 서구 대덕대로 143-1 (갈마동)</t>
  </si>
  <si>
    <t>갈마동 냉면</t>
  </si>
  <si>
    <t>강남면옥 둔산점</t>
  </si>
  <si>
    <t>대전광역시 서구 둔산동 1410</t>
  </si>
  <si>
    <t>대전광역시 서구 둔산로123번길 15</t>
  </si>
  <si>
    <t>맛찬들왕소금구이 갈마점</t>
  </si>
  <si>
    <t>대전광역시 서구 갈마동 343-54 1층</t>
  </si>
  <si>
    <t>대전광역시 서구 계룡로 398 1층</t>
  </si>
  <si>
    <t>바르다김선생 대전시청점</t>
  </si>
  <si>
    <t>지역성: 대전; 최근 12개월 블로그 44건</t>
  </si>
  <si>
    <t>대전광역시 서구 둔산동 1413 파이낸스빌딩 104호,105호</t>
  </si>
  <si>
    <t>대전광역시 서구 둔산중로 50 파이낸스빌딩 104호,105호</t>
  </si>
  <si>
    <t>얼칼</t>
  </si>
  <si>
    <t>지역성: 칼국수; 최근 12개월 블로그 50건</t>
  </si>
  <si>
    <t>대전광역시 서구 갈마동 377-38 1층</t>
  </si>
  <si>
    <t>대전광역시 서구 신갈마로 141 1층</t>
  </si>
  <si>
    <t>짬뽕관 대전둔산점</t>
  </si>
  <si>
    <t>지역성: 대전; 최근 12개월 블로그 99건</t>
  </si>
  <si>
    <t>대전광역시 서구 둔산동 1319 1층</t>
  </si>
  <si>
    <t>대전광역시 서구 대덕대로234번길 38 1층</t>
  </si>
  <si>
    <t>최애뭉티기 갈마본점</t>
  </si>
  <si>
    <t>지역성: 본점; 최근 12개월 블로그 85건</t>
  </si>
  <si>
    <t>대전광역시 서구 갈마동 969 2층 최애뭉티기</t>
  </si>
  <si>
    <t>대전광역시 서구 갈마중로 31 2층 최애뭉티기</t>
  </si>
  <si>
    <t>한상바오 와갈비 대전점</t>
  </si>
  <si>
    <t>대전광역시 서구 갈마동 1435 103호 한상바오 와갈비</t>
  </si>
  <si>
    <t>대전광역시 서구 대덕대로 164 103호 한상바오 와갈비</t>
  </si>
  <si>
    <t>밤맛고을</t>
  </si>
  <si>
    <t>최근 12개월 블로그 94건</t>
  </si>
  <si>
    <t>대전광역시 서구 갈마동 343-30 1층 밤맛고을</t>
  </si>
  <si>
    <t>대전광역시 서구 갈마중로 13 1층 밤맛고을</t>
  </si>
  <si>
    <t>갈마동 노포</t>
  </si>
  <si>
    <t>샘머리김밥</t>
  </si>
  <si>
    <t>대전광역시 서구 둔산동 908</t>
  </si>
  <si>
    <t>대전광역시 서구 청사로 281</t>
  </si>
  <si>
    <t>설천순대국밥</t>
  </si>
  <si>
    <t>최근 12개월 블로그 86건</t>
  </si>
  <si>
    <t>대전광역시 서구 둔산동 1353</t>
  </si>
  <si>
    <t>대전광역시 서구 둔산로51번길 66</t>
  </si>
  <si>
    <t>시골길내륙본점</t>
  </si>
  <si>
    <t>한식&gt;낙지요리</t>
  </si>
  <si>
    <t>지역성: 본점; 최근 12개월 블로그 43건</t>
  </si>
  <si>
    <t>대전광역시 서구 둔산동 997</t>
  </si>
  <si>
    <t>대전광역시 서구 둔산로31번길 61</t>
  </si>
  <si>
    <t>육함</t>
  </si>
  <si>
    <t>대전광역시 서구 갈마동 830 101,B01호</t>
  </si>
  <si>
    <t>대전광역시 서구 갈마역로 17 101,B01호</t>
  </si>
  <si>
    <t>장원갑칼국수 둔산 갤러리아 타임월드점</t>
  </si>
  <si>
    <t>대전광역시 서구 둔산동 1127 1층 104호</t>
  </si>
  <si>
    <t>대전광역시 서구 대덕대로176번길 15 1층 104호</t>
  </si>
  <si>
    <t>둔산동 칼국수</t>
  </si>
  <si>
    <t>킨토토 대전점</t>
  </si>
  <si>
    <t>지역성: 대전; 최근 12개월 블로그 13건</t>
  </si>
  <si>
    <t>대전광역시 서구 갈마동 273-19</t>
  </si>
  <si>
    <t>대전광역시 서구 계룡로 403</t>
  </si>
  <si>
    <t>갈마동 맛집</t>
  </si>
  <si>
    <t>호박꽃마차 본점</t>
  </si>
  <si>
    <t>지역성: 본점; 최근 12개월 블로그 49건</t>
  </si>
  <si>
    <t>대전광역시 서구 갈마동 982 1층 호박꽃마차</t>
  </si>
  <si>
    <t>대전광역시 서구 대덕대로151번길 23 1층 호박꽃마차</t>
  </si>
  <si>
    <t>국밥 참 맛있는 집 대전시청점</t>
  </si>
  <si>
    <t>지역성: 대전; 최근 12개월 블로그 72건</t>
  </si>
  <si>
    <t>대전광역시 서구 둔산동 1389 1층 101-3호</t>
  </si>
  <si>
    <t>대전광역시 서구 문예로 73 1층 101-3호</t>
  </si>
  <si>
    <t>굴렁쇠막창</t>
  </si>
  <si>
    <t>대전광역시 서구 갈마동 343-55 1층 굴렁쇠막창</t>
  </si>
  <si>
    <t>대전광역시 서구 계룡로394번길 9 1층 굴렁쇠막창</t>
  </si>
  <si>
    <t>백그릇국밥 대전법원점</t>
  </si>
  <si>
    <t>대전광역시 서구 둔산동 1483 이레빌딩 1층</t>
  </si>
  <si>
    <t>대전광역시 서구 둔산로137번길 22 이레빌딩 1층</t>
  </si>
  <si>
    <t>유미삼겹 숯불갈비</t>
  </si>
  <si>
    <t>대전광역시 서구 갈마동 1496 1층 유미삼겹 숯불갈비</t>
  </si>
  <si>
    <t>대전광역시 서구 신갈마로 186 1층 유미삼겹 숯불갈비</t>
  </si>
  <si>
    <t>주감 본점</t>
  </si>
  <si>
    <t>지역성: 본점; 최근 12개월 블로그 29건</t>
  </si>
  <si>
    <t>대전광역시 서구 갈마동 855 1층 주감</t>
  </si>
  <si>
    <t>대전광역시 서구 갈마역로25번길 17-17 1층 주감</t>
  </si>
  <si>
    <t>갈마동 칼국수</t>
  </si>
  <si>
    <t>푸짐한조개찜</t>
  </si>
  <si>
    <t>대전광역시 서구 갈마동 261-1</t>
  </si>
  <si>
    <t>대전광역시 서구 월평중로4번길 74</t>
  </si>
  <si>
    <t>길가옆에누룽지삼계탕 서구점</t>
  </si>
  <si>
    <t>대전광역시 서구 갈마동 263-49</t>
  </si>
  <si>
    <t>대전광역시 서구 월평중로4번길 77</t>
  </si>
  <si>
    <t>담온식당</t>
  </si>
  <si>
    <t>대전광역시 서구 둔산동 1407 1층 107호</t>
  </si>
  <si>
    <t>대전광역시 서구 둔산로123번길 21 1층 107호</t>
  </si>
  <si>
    <t>둔산동 칼국수 | 둔산동 한식</t>
  </si>
  <si>
    <t>산더미 미성돼지국밥 대전둔산점</t>
  </si>
  <si>
    <t>대전광역시 서구 둔산동 1456 1층 102호</t>
  </si>
  <si>
    <t>대전광역시 서구 둔산로 129 1층 102호</t>
  </si>
  <si>
    <t>수복삼계탕 둔산점</t>
  </si>
  <si>
    <t>대전광역시 서구 둔산동 1405 메트로팰리스 1층 109호,110호</t>
  </si>
  <si>
    <t>대전광역시 서구 둔산중로 66 메트로팰리스 1층 109호,110호</t>
  </si>
  <si>
    <t>오씨칼국수 둔산점</t>
  </si>
  <si>
    <t>지역성: 칼국수; 최근 12개월 블로그 86건</t>
  </si>
  <si>
    <t>대전광역시 서구 둔산동 1304 근로자종합복지관지하 1층</t>
  </si>
  <si>
    <t>대전광역시 서구 둔산서로 84 (둔산동,근로자종합복지관)지하 1층</t>
  </si>
  <si>
    <t>택이네조개전골 대전시청점</t>
  </si>
  <si>
    <t>음식점&gt;한식&gt;해물,생선요리&gt;조개요리</t>
  </si>
  <si>
    <t>대전광역시 서구 둔산동 1429 SH빌딩 1층</t>
  </si>
  <si>
    <t>대전광역시 서구 둔산남로 99 SH빌딩 1층</t>
  </si>
  <si>
    <t>담라 둔산본점</t>
  </si>
  <si>
    <t>대전광역시 서구 둔산동 1488 2층</t>
  </si>
  <si>
    <t>대전광역시 서구 둔산남로105번길 34 2층</t>
  </si>
  <si>
    <t>무한고기충전소</t>
  </si>
  <si>
    <t>대전광역시 서구 둔산동 1450 2층</t>
  </si>
  <si>
    <t>대전광역시 서구 둔산중로46번길 38 2층</t>
  </si>
  <si>
    <t>본만쥬 갈마점</t>
  </si>
  <si>
    <t>대전광역시 서구 갈마동 834</t>
  </si>
  <si>
    <t>대전광역시 서구 갈마역로 11</t>
  </si>
  <si>
    <t>부산면관 둔산직영점</t>
  </si>
  <si>
    <t>대전광역시 서구 둔산동 1308 하이베라스 1층 105호</t>
  </si>
  <si>
    <t>대전광역시 서구 대덕대로234번길 45 하이베라스 1층 105호</t>
  </si>
  <si>
    <t>불타는반점 본점</t>
  </si>
  <si>
    <t>대전광역시 서구 둔산동 1309 1층 103호</t>
  </si>
  <si>
    <t>대전광역시 서구 대덕대로234번길 46 1층 103호</t>
  </si>
  <si>
    <t>수테</t>
  </si>
  <si>
    <t>대전광역시 서구 둔산동 990 1층</t>
  </si>
  <si>
    <t>대전광역시 서구 둔산로31번길 31 1층</t>
  </si>
  <si>
    <t>연골연탄집 대전갈마점</t>
  </si>
  <si>
    <t>지역성: 대전; 최근 12개월 블로그 98건</t>
  </si>
  <si>
    <t>대전광역시 서구 갈마동 307-20 1층 연골연탄집</t>
  </si>
  <si>
    <t>대전광역시 서구 신갈마로 202 1층 연골연탄집</t>
  </si>
  <si>
    <t>이억만포장마차</t>
  </si>
  <si>
    <t>대전광역시 서구 둔산동 1064 명성빌딩</t>
  </si>
  <si>
    <t>대전광역시 서구 대덕대로185번길 30 명성빌딩</t>
  </si>
  <si>
    <t>정김밥</t>
  </si>
  <si>
    <t>대전광역시 서구 둔산동 967 1층 149호</t>
  </si>
  <si>
    <t>대전광역시 서구 둔산북로 22 1층 149호</t>
  </si>
  <si>
    <t>카이테키 대전점</t>
  </si>
  <si>
    <t>대전광역시 서구 둔산동 1222 1층</t>
  </si>
  <si>
    <t>대전광역시 서구 계룡로491번길 82 1층</t>
  </si>
  <si>
    <t>타츠진 우동</t>
  </si>
  <si>
    <t>대전광역시 서구 둔산동 1023 1층 106호</t>
  </si>
  <si>
    <t>대전광역시 서구 대덕대로249번길 15 1층 106호</t>
  </si>
  <si>
    <t>더베이징</t>
  </si>
  <si>
    <t>대전광역시 서구 둔산동 1083 더 프라임시티 2층 201호</t>
  </si>
  <si>
    <t>대전광역시 서구 대덕대로195번길 58 더 프라임시티 2층 201호</t>
  </si>
  <si>
    <t>명동닭한마리 둔산을지점</t>
  </si>
  <si>
    <t>대전광역시 서구 둔산동 1353 1층 107호, 107-1호</t>
  </si>
  <si>
    <t>대전광역시 서구 둔산로51번길 66 1층 107호, 107-1호</t>
  </si>
  <si>
    <t>무릉도원</t>
  </si>
  <si>
    <t>대전광역시 서구 갈마동 343-14 1층 무릉도원</t>
  </si>
  <si>
    <t>대전광역시 서구 계룡로416번길 54 1층 무릉도원</t>
  </si>
  <si>
    <t>상무초밥 둔산점</t>
  </si>
  <si>
    <t>대전광역시 서구 둔산동 1002</t>
  </si>
  <si>
    <t>대전광역시 서구 둔산로31번길 66</t>
  </si>
  <si>
    <t>설도</t>
  </si>
  <si>
    <t>대전광역시 서구 갈마동 902 1층 설도</t>
  </si>
  <si>
    <t>대전광역시 서구 갈마역로 9 1층 설도</t>
  </si>
  <si>
    <t>소리</t>
  </si>
  <si>
    <t>대전광역시 서구 둔산동 1309 1층 102호</t>
  </si>
  <si>
    <t>대전광역시 서구 대덕대로234번길 46 1층 102호</t>
  </si>
  <si>
    <t>원산시도삭면</t>
  </si>
  <si>
    <t>대전광역시 서구 둔산동 1077 트라이얼스타 B동 2층 202호</t>
  </si>
  <si>
    <t>대전광역시 서구 둔지로 11 트라이얼스타 B동 2층 202호</t>
  </si>
  <si>
    <t>태원</t>
  </si>
  <si>
    <t>대전광역시 서구 둔산동 1242</t>
  </si>
  <si>
    <t>대전광역시 서구 문정로 19</t>
  </si>
  <si>
    <t>범이네숯불구이</t>
  </si>
  <si>
    <t>한식&gt;닭갈비</t>
  </si>
  <si>
    <t>대전광역시 서구 갈마동 1049 1층 범이네숯불구이</t>
  </si>
  <si>
    <t>대전광역시 서구 대덕대로 159 1층 범이네숯불구이</t>
  </si>
  <si>
    <t>시인의 바다</t>
  </si>
  <si>
    <t>대전광역시 서구 갈마동 337-32</t>
  </si>
  <si>
    <t>대전광역시 서구 신갈마로181번길 5</t>
  </si>
  <si>
    <t>오가네대구왕뽈떼기 아구도발</t>
  </si>
  <si>
    <t>대전광역시 서구 갈마동 338-3 1층 아구도발</t>
  </si>
  <si>
    <t>대전광역시 서구 갈마로 36 1층 아구도발</t>
  </si>
  <si>
    <t>오마카세키친</t>
  </si>
  <si>
    <t>대전광역시 서구 둔산동 1005 로뎀빌딩 2층</t>
  </si>
  <si>
    <t>대전광역시 서구 둔산로31번길 52 로뎀빌딩 2층</t>
  </si>
  <si>
    <t>용주</t>
  </si>
  <si>
    <t>대전광역시 서구 갈마동 1027 1층 101호</t>
  </si>
  <si>
    <t>대전광역시 서구 대덕대로161번길 31 1층 101호</t>
  </si>
  <si>
    <t>이비가짬뽕 시청점</t>
  </si>
  <si>
    <t>대전광역시 서구 둔산동 1447 1층</t>
  </si>
  <si>
    <t>대전광역시 서구 둔산중로40번길 19 1층</t>
  </si>
  <si>
    <t>족발이랑칼국시</t>
  </si>
  <si>
    <t>한식&gt;족발,보쌈</t>
  </si>
  <si>
    <t>최근 12개월 블로그 41건</t>
  </si>
  <si>
    <t>대전광역시 서구 갈마동 1356-1</t>
  </si>
  <si>
    <t>대전광역시 서구 갈마로147번길 58</t>
  </si>
  <si>
    <t>카우카우 둔산점</t>
  </si>
  <si>
    <t>대전광역시 서구 둔산동 1068 2층 01호 카우카우 둔산점</t>
  </si>
  <si>
    <t>대전광역시 서구 둔지로 18 2층 01호 카우카우 둔산점</t>
  </si>
  <si>
    <t>둔산동 고기 | 둔산동 한식</t>
  </si>
  <si>
    <t>동백카츠 둔산점</t>
  </si>
  <si>
    <t>대전광역시 서구 둔산동 1004 1층 동백카츠</t>
  </si>
  <si>
    <t>대전광역시 서구 둔산로31번길 56 1층 동백카츠</t>
  </si>
  <si>
    <t>만전 대전시청점</t>
  </si>
  <si>
    <t>대전광역시 서구 둔산동 1439 1층</t>
  </si>
  <si>
    <t>대전광역시 서구 둔산중로40번길 20 1층</t>
  </si>
  <si>
    <t>맛찬들왕소금구이 둔산점</t>
  </si>
  <si>
    <t>대전광역시 서구 둔산동 1448 1층 101호</t>
  </si>
  <si>
    <t>대전광역시 서구 둔산중로46번길 22 1층 101호</t>
  </si>
  <si>
    <t>모리아</t>
  </si>
  <si>
    <t>대전광역시 서구 둔산동 1434 1층 102호</t>
  </si>
  <si>
    <t>대전광역시 서구 둔산중로32번길 35 1층 102호</t>
  </si>
  <si>
    <t>신선칡냉면</t>
  </si>
  <si>
    <t>최근 12개월 블로그 99건</t>
  </si>
  <si>
    <t>대전광역시 서구 둔산동 1966 1층</t>
  </si>
  <si>
    <t>대전광역시 서구 둔산로218번길 26 1층</t>
  </si>
  <si>
    <t>추성순대족발</t>
  </si>
  <si>
    <t>대전광역시 서구 둔산동 925 1층</t>
  </si>
  <si>
    <t>대전광역시 서구 둔산중로134번길 39 1층</t>
  </si>
  <si>
    <t>둔산주먹구이</t>
  </si>
  <si>
    <t>대전광역시 서구 갈마동 827 1층 둔산주먹구이</t>
  </si>
  <si>
    <t>대전광역시 서구 갈마역로 21 1층 둔산주먹구이</t>
  </si>
  <si>
    <t>다올칼국수</t>
  </si>
  <si>
    <t>대전광역시 중구 문화동 126-2 1층</t>
  </si>
  <si>
    <t>대전광역시 중구 보문산로293번길 7 1층</t>
  </si>
  <si>
    <t>보문산 두부두루치기 | 보문산 칼국수 | 보문산 해산물</t>
  </si>
  <si>
    <t>감자바위골</t>
  </si>
  <si>
    <t>대전광역시 중구 문창동 366-12 문창시장내 1층</t>
  </si>
  <si>
    <t>대전광역시 중구 보문로20번길 14-4 문창시장내 1층</t>
  </si>
  <si>
    <t>보문산 맛집 | 보문산 칼국수 | 보문산 한식 | 보문산 해산물</t>
  </si>
  <si>
    <t>보문산유씨네부엌샤브샤브</t>
  </si>
  <si>
    <t>대전광역시 중구 대사동 197-15 1층 유씨네부엌</t>
  </si>
  <si>
    <t>대전광역시 중구 보문산공원로497번길 109 1층 유씨네부엌</t>
  </si>
  <si>
    <t>보문산 맛집 | 보문산 일식 | 보문산 칼국수</t>
  </si>
  <si>
    <t>옹심이메밀칼국수</t>
  </si>
  <si>
    <t>지역성: 칼국수; 최근 12개월 블로그 69건</t>
  </si>
  <si>
    <t>대전광역시 중구 대사동 121-2 1층</t>
  </si>
  <si>
    <t>대전광역시 중구 보문산공원로 543 1층</t>
  </si>
  <si>
    <t>보문산 칼국수 | 보문산 한식</t>
  </si>
  <si>
    <t>고기는야외빨</t>
  </si>
  <si>
    <t>최근 12개월 블로그 37건</t>
  </si>
  <si>
    <t>대전광역시 중구 대사동 210-5 고기는야외빨</t>
  </si>
  <si>
    <t>대전광역시 중구 보문산공원로 514 고기는야외빨</t>
  </si>
  <si>
    <t>보문산 고기 | 보문산 냉면</t>
  </si>
  <si>
    <t>대동순대</t>
  </si>
  <si>
    <t>대전광역시 중구 문화동 284-53</t>
  </si>
  <si>
    <t>대전광역시 중구 서문로43번길 70</t>
  </si>
  <si>
    <t>보문산 고기 | 보문산 국밥 | 보문산 두부두루치기</t>
  </si>
  <si>
    <t>봉스김밥 대전본점</t>
  </si>
  <si>
    <t>대전광역시 중구 문화동 480-2</t>
  </si>
  <si>
    <t>대전광역시 중구 천근로46번길 10</t>
  </si>
  <si>
    <t>보문산 분식</t>
  </si>
  <si>
    <t>홍두깨칼국수</t>
  </si>
  <si>
    <t>지역성: 칼국수; 최근 12개월 블로그 98건</t>
  </si>
  <si>
    <t>대전광역시 중구 석교동 10-17</t>
  </si>
  <si>
    <t>대전광역시 중구 대종로 258</t>
  </si>
  <si>
    <t>보문산 두부두루치기 | 보문산 칼국수</t>
  </si>
  <si>
    <t>만수민물장어</t>
  </si>
  <si>
    <t>대전광역시 중구 문화동 27-5 3층 만수민물장어</t>
  </si>
  <si>
    <t>대전광역시 중구 보문산로 331 3층 만수민물장어</t>
  </si>
  <si>
    <t>보문산 맛집 | 보문산 한식 | 보문산 해산물</t>
  </si>
  <si>
    <t>복수분식 본점</t>
  </si>
  <si>
    <t>대전광역시 중구 대사동 77-45 현대주택 1층 복수분식본점</t>
  </si>
  <si>
    <t>대전광역시 중구 충무로 95 현대주택 1층 복수분식본점</t>
  </si>
  <si>
    <t>보문산 두부두루치기 | 보문산 분식 | 보문산 칼국수</t>
  </si>
  <si>
    <t>착한낙지 대전보문산점</t>
  </si>
  <si>
    <t>지역성: 대전; 최근 12개월 블로그 42건</t>
  </si>
  <si>
    <t>대전광역시 중구 부사동 99-1 1층 착한낙지</t>
  </si>
  <si>
    <t>대전광역시 중구 대종로 331 1층 착한낙지</t>
  </si>
  <si>
    <t>보문산 한식 | 보문산 해산물</t>
  </si>
  <si>
    <t>정직한하누</t>
  </si>
  <si>
    <t>대전광역시 중구 부사동 129-8 2층/3층(room)</t>
  </si>
  <si>
    <t>대전광역시 중구 대종로 311 2층/3층(room)</t>
  </si>
  <si>
    <t>보문산 국밥 | 보문산 냉면</t>
  </si>
  <si>
    <t>보문산본가누룽지삼계탕</t>
  </si>
  <si>
    <t>대전광역시 중구 대사동 142-2 1층</t>
  </si>
  <si>
    <t>대전광역시 중구 보문산공원로 527-4 1층</t>
  </si>
  <si>
    <t>보문산 삼계탕 | 보문산 한식</t>
  </si>
  <si>
    <t>샤브마니아 대전보문산점</t>
  </si>
  <si>
    <t>대전광역시 중구 대사동 200-5 2층</t>
  </si>
  <si>
    <t>대전광역시 중구 보문산공원로497번길 26 2층</t>
  </si>
  <si>
    <t>보문산 일식</t>
  </si>
  <si>
    <t>진짜배기명태촌 보문산점</t>
  </si>
  <si>
    <t>대전광역시 중구 대사동 200-4 1층</t>
  </si>
  <si>
    <t>대전광역시 중구 보문산공원로497번길 16 1층</t>
  </si>
  <si>
    <t>유성순대</t>
  </si>
  <si>
    <t>대전광역시 중구 석교동 57-12</t>
  </si>
  <si>
    <t>대전광역시 중구 대전천서로 211</t>
  </si>
  <si>
    <t>보문산 고기 | 보문산 국밥</t>
  </si>
  <si>
    <t>짬뽕짬뽕 본점</t>
  </si>
  <si>
    <t>대전광역시 중구 문화동 374-17 짬뽕짬뽕</t>
  </si>
  <si>
    <t>대전광역시 중구 서문로43번길 80 짬뽕짬뽕</t>
  </si>
  <si>
    <t>보문산 중식</t>
  </si>
  <si>
    <t>꼭대기집</t>
  </si>
  <si>
    <t>대전광역시 중구 대사동 산1-27</t>
  </si>
  <si>
    <t>대전광역시 중구 보문산공원로530번길 12-28</t>
  </si>
  <si>
    <t>보문산 삼계탕</t>
  </si>
  <si>
    <t>유가옥설렁탕</t>
  </si>
  <si>
    <t>대전광역시 중구 부사동 128-1</t>
  </si>
  <si>
    <t>대전광역시 중구 대종로 323</t>
  </si>
  <si>
    <t>똑순이네</t>
  </si>
  <si>
    <t>대전광역시 중구 대사동 148-19</t>
  </si>
  <si>
    <t>대전광역시 중구 보문산공원로 522</t>
  </si>
  <si>
    <t>시민칼국수</t>
  </si>
  <si>
    <t>대전광역시 중구 문화동 1-166</t>
  </si>
  <si>
    <t>대전광역시 중구 대흥로10번길 5</t>
  </si>
  <si>
    <t>보문산 두부두루치기</t>
  </si>
  <si>
    <t>다정식당</t>
  </si>
  <si>
    <t>대전광역시 중구 대사동 198-138</t>
  </si>
  <si>
    <t>대전광역시 중구 보문산공원로 496</t>
  </si>
  <si>
    <t>남원집</t>
  </si>
  <si>
    <t>대전광역시 중구 문화동 491-1 1층</t>
  </si>
  <si>
    <t>대전광역시 중구 보문산로227번길 57 1층</t>
  </si>
  <si>
    <t>보문산 고기</t>
  </si>
  <si>
    <t>대전광역시 중구 대흥동 467-4</t>
  </si>
  <si>
    <t>대전광역시 중구 중교로 27</t>
  </si>
  <si>
    <t>북경</t>
  </si>
  <si>
    <t>대전광역시 중구 부사동 141-11</t>
  </si>
  <si>
    <t>대전광역시 중구 보문로 99-2</t>
  </si>
  <si>
    <t>소담</t>
  </si>
  <si>
    <t>대전광역시 중구 부사동 147-13</t>
  </si>
  <si>
    <t>대전광역시 중구 보문로 71</t>
  </si>
  <si>
    <t>소풍</t>
  </si>
  <si>
    <t>대전광역시 중구 부사동 146-7</t>
  </si>
  <si>
    <t>대전광역시 중구 보문로 85</t>
  </si>
  <si>
    <t>우리왕만두</t>
  </si>
  <si>
    <t>대전광역시 중구 문창동 361-18</t>
  </si>
  <si>
    <t>대전광역시 중구 문창로 6</t>
  </si>
  <si>
    <t>지글지글</t>
  </si>
  <si>
    <t>대전광역시 중구 문창동 371-23</t>
  </si>
  <si>
    <t>대전광역시 중구 보문로 23</t>
  </si>
  <si>
    <t>하나분식</t>
  </si>
  <si>
    <t>대전광역시 중구 문창동 362-9</t>
  </si>
  <si>
    <t>대전광역시 중구 문창로 8</t>
  </si>
  <si>
    <t>애국집</t>
  </si>
  <si>
    <t>대전광역시 중구 대흥동 295-6 1층</t>
  </si>
  <si>
    <t>대전광역시 중구 테미로 35 1층</t>
  </si>
  <si>
    <t>조기종의향미각 대전충대병원점</t>
  </si>
  <si>
    <t>대전광역시 중구 대사동 248-366 1층</t>
  </si>
  <si>
    <t>대전광역시 중구 문화로 273 1층</t>
  </si>
  <si>
    <t>하쿠류코쿠류 본점</t>
  </si>
  <si>
    <t>지역성: 본점; 최근 12개월 블로그 98건</t>
  </si>
  <si>
    <t>대전광역시 중구 대흥동 452-69 1층</t>
  </si>
  <si>
    <t>대전광역시 중구 대흥로111번길 42 1층</t>
  </si>
  <si>
    <t>소담칼국수쭈꾸미 문화점</t>
  </si>
  <si>
    <t>대전광역시 중구 문화동 11-15 1층</t>
  </si>
  <si>
    <t>대전광역시 중구 보문산로365번길 2 1층</t>
  </si>
  <si>
    <t>보문산 칼국수</t>
  </si>
  <si>
    <t>청국장이야기</t>
  </si>
  <si>
    <t>대전광역시 중구 대사동 197-37 1층</t>
  </si>
  <si>
    <t>대전광역시 중구 보문산공원로497번길 61 1층</t>
  </si>
  <si>
    <t>보문산 한식</t>
  </si>
  <si>
    <t>한민순대</t>
  </si>
  <si>
    <t>대전광역시 중구 문창동 367-15</t>
  </si>
  <si>
    <t>대전광역시 중구 대전천서로 271</t>
  </si>
  <si>
    <t>보문산 국밥</t>
  </si>
  <si>
    <t>강변산닭 본점</t>
  </si>
  <si>
    <t>지역성: 본점; 최근 12개월 블로그 7건</t>
  </si>
  <si>
    <t>대전광역시 중구 대흥동 469-2</t>
  </si>
  <si>
    <t>대전광역시 중구 보문로260번길 8</t>
  </si>
  <si>
    <t>고덕갈비</t>
  </si>
  <si>
    <t>최근 12개월 블로그 95건</t>
  </si>
  <si>
    <t>대전광역시 중구 문화동 542-1</t>
  </si>
  <si>
    <t>대전광역시 중구 보문산로 213</t>
  </si>
  <si>
    <t>문화손만두</t>
  </si>
  <si>
    <t>대전광역시 중구 문화동 125-4 용정빌라 1층</t>
  </si>
  <si>
    <t>대전광역시 중구 과례로 28 용정빌라 1층</t>
  </si>
  <si>
    <t>돈태일</t>
  </si>
  <si>
    <t>최근 12개월 블로그 32건</t>
  </si>
  <si>
    <t>대전광역시 중구 문창동 373-3 1층</t>
  </si>
  <si>
    <t>대전광역시 중구 대종로296번길 17 1층</t>
  </si>
  <si>
    <t>보문산쭈꾸미</t>
  </si>
  <si>
    <t>대전광역시 중구 대사동 197-36 지하1층</t>
  </si>
  <si>
    <t>대전광역시 중구 보문산공원로497번길 126 지하1층</t>
  </si>
  <si>
    <t>보문산 해산물</t>
  </si>
  <si>
    <t>소바노하나</t>
  </si>
  <si>
    <t>대전광역시 중구 문화동 1-9</t>
  </si>
  <si>
    <t>대전광역시 중구 중앙로 28</t>
  </si>
  <si>
    <t>청석골칡냉면</t>
  </si>
  <si>
    <t>최근 12개월 블로그 56건</t>
  </si>
  <si>
    <t>대전광역시 중구 산성동 334-8 대전광역시 중구 334~8번지</t>
  </si>
  <si>
    <t>대전광역시 중구 보문산로141번길 39 대전광역시 중구 산성동 334~8번지</t>
  </si>
  <si>
    <t>보문산 냉면</t>
  </si>
  <si>
    <t>파도상회</t>
  </si>
  <si>
    <t>대전광역시 중구 대흥동 480-3 1층</t>
  </si>
  <si>
    <t>대전광역시 중구 보문로260번길 17 1층</t>
  </si>
  <si>
    <t>도어블</t>
  </si>
  <si>
    <t>대전광역시 중구 대흥동 446-8 1층</t>
  </si>
  <si>
    <t>대전광역시 중구 대흥로 117 1층</t>
  </si>
  <si>
    <t>라이라이 중식당</t>
  </si>
  <si>
    <t>최근 12개월 블로그 7건</t>
  </si>
  <si>
    <t>대전광역시 중구 문창동 388-3</t>
  </si>
  <si>
    <t>대전광역시 중구 대전천서로 249-1</t>
  </si>
  <si>
    <t>릴레이분식</t>
  </si>
  <si>
    <t>대전광역시 중구 대사동 248-485 1층 103호</t>
  </si>
  <si>
    <t>대전광역시 중구 계룡로 937 1층 103호</t>
  </si>
  <si>
    <t>매일봄</t>
  </si>
  <si>
    <t>대전광역시 중구 대흥동 502-14 1층</t>
  </si>
  <si>
    <t>대전광역시 중구 선화서로 4 1층</t>
  </si>
  <si>
    <t>해태관</t>
  </si>
  <si>
    <t>최근 12개월 블로그 79건</t>
  </si>
  <si>
    <t>대전광역시 중구 대흥동 458-1 1층 101호</t>
  </si>
  <si>
    <t>대전광역시 중구 대흥로121번길 43 1층 101호</t>
  </si>
  <si>
    <t>1953서서갈비 부사직영점</t>
  </si>
  <si>
    <t>최근 12개월 블로그 30건</t>
  </si>
  <si>
    <t>대전광역시 중구 부사동 260-1 1층</t>
  </si>
  <si>
    <t>대전광역시 중구 대종로 275 1층</t>
  </si>
  <si>
    <t>마담이네애호박국밥</t>
  </si>
  <si>
    <t>대전광역시 중구 대사동 75-6 B동</t>
  </si>
  <si>
    <t>대전광역시 중구 보문로 146-15 B동</t>
  </si>
  <si>
    <t>선속초코다리냉면</t>
  </si>
  <si>
    <t>대전광역시 중구 대사동 248-264 1층</t>
  </si>
  <si>
    <t>대전광역시 중구 대흥로 22 1층</t>
  </si>
  <si>
    <t>이삭토스트 대전 문화점</t>
  </si>
  <si>
    <t>분식&gt;토스트</t>
  </si>
  <si>
    <t>대전광역시 중구 문화동 372-16</t>
  </si>
  <si>
    <t>대전광역시 중구 문화로 173</t>
  </si>
  <si>
    <t>황선영순대 본점</t>
  </si>
  <si>
    <t>지역성: 본점; 최근 12개월 블로그 3건</t>
  </si>
  <si>
    <t>대전광역시 중구 대사동 248-297 1층</t>
  </si>
  <si>
    <t>대전광역시 중구 계룡로 951 1층</t>
  </si>
  <si>
    <t>성열식당</t>
  </si>
  <si>
    <t>최근 12개월 블로그 1건</t>
  </si>
  <si>
    <t>대전광역시 중구 문창동 367-10</t>
  </si>
  <si>
    <t>대전광역시 중구 문창로6번길 42</t>
  </si>
  <si>
    <t>문창닭집</t>
  </si>
  <si>
    <t>대전광역시 중구 문창동 363-4</t>
  </si>
  <si>
    <t>대전광역시 중구 문창로10번길 15</t>
  </si>
  <si>
    <t>이삭토스트 대전부사점</t>
  </si>
  <si>
    <t>대전광역시 중구 문창동 374-5</t>
  </si>
  <si>
    <t>대전광역시 중구 대종로 304</t>
  </si>
  <si>
    <t>유끼</t>
  </si>
  <si>
    <t>대전광역시 중구 대사동 198-14 1층 )</t>
  </si>
  <si>
    <t>대전광역시 중구 보문산공원로 469 1층 대사동)</t>
  </si>
  <si>
    <t>짜장왕왕서방</t>
  </si>
  <si>
    <t>대전광역시 중구 부사동 129-8</t>
  </si>
  <si>
    <t>대전광역시 중구 대종로 311</t>
  </si>
  <si>
    <t>한촌설렁탕 충남대병원점</t>
  </si>
  <si>
    <t>지역검색 후보</t>
  </si>
  <si>
    <t>대전광역시 중구 대사동 640 충남대병원 본관 지하1층</t>
  </si>
  <si>
    <t>대전광역시 중구 문화로 282 충남대병원 본관 지하1층</t>
  </si>
  <si>
    <t>식당 후보 검토 가이드</t>
  </si>
  <si>
    <t>후보 검토 시트에서 필터를 사용하고, 블로그 보기 링크로 최근 운영 상태와 여행 추천 가치를 확인하세요.</t>
  </si>
  <si>
    <t>상태</t>
  </si>
  <si>
    <t>의미</t>
  </si>
  <si>
    <t>사용 기준</t>
  </si>
  <si>
    <t>아직 사람이 확인하지 않은 후보</t>
  </si>
  <si>
    <t>approved</t>
  </si>
  <si>
    <t>최종 추천 목록에 포함할 후보</t>
  </si>
  <si>
    <t>hold</t>
  </si>
  <si>
    <t>영업 여부나 중복 여부를 추가 확인할 후보</t>
  </si>
  <si>
    <t>rejected</t>
  </si>
  <si>
    <t>최종 추천 목록에서 제외할 후보</t>
  </si>
  <si>
    <t>대표 제외 사유</t>
  </si>
  <si>
    <t>판정 예시</t>
  </si>
  <si>
    <t>수작업 확인 항목</t>
  </si>
  <si>
    <t>기존 목록 중복</t>
  </si>
  <si>
    <t>기존 추천 식당과 같은 업소</t>
  </si>
  <si>
    <t>영업시간 · 브레이크타임 · 휴무일</t>
  </si>
  <si>
    <t>폐업·휴업</t>
  </si>
  <si>
    <t>최근 영업 사실을 확인할 수 없음</t>
  </si>
  <si>
    <t>대표 메뉴 · 가격대</t>
  </si>
  <si>
    <t>배달 위주</t>
  </si>
  <si>
    <t>여행 중 방문보다 배달·포장 중심</t>
  </si>
  <si>
    <t>주차 · 예약 · 웨이팅</t>
  </si>
  <si>
    <t>일반 프랜차이즈</t>
  </si>
  <si>
    <t>지역 고유성이 낮고 어디서나 방문 가능</t>
  </si>
  <si>
    <t>혼밥 · 가족 · 단체 방문 적합성</t>
  </si>
  <si>
    <t>비식당</t>
  </si>
  <si>
    <t>먹자거리·명소·마트 등 개별 음식점이 아님</t>
  </si>
  <si>
    <t>최근 1년 실제 방문 리뷰</t>
  </si>
  <si>
    <t>추천 가치 낮음</t>
  </si>
  <si>
    <t>대표 메뉴나 방문 이유가 불명확</t>
  </si>
  <si>
    <t>공식 채널 또는 지도 정보와 교차 확인</t>
  </si>
  <si>
    <t>정보 부족</t>
  </si>
  <si>
    <t>최신 운영·메뉴 정보를 교차 확인하기 어려움</t>
  </si>
  <si>
    <t>마지막 확인 날짜 기록</t>
  </si>
  <si>
    <t>주의: 추천 점수와 블로그 검색량은 승인 판정이 아니라 검토 순서를 정하기 위한 참고값입니다.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</si>
</sst>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000"/>
  </numFmts>
  <fonts count="21">
    <font>
      <sz val="1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20"/>
      <color rgb="FFFFFFFF"/>
      <name val="Carlito"/>
    </font>
    <font>
      <i/>
      <sz val="10"/>
      <color rgb="FF065F46"/>
      <name val="Carlito"/>
    </font>
    <font>
      <b/>
      <sz val="10"/>
      <color rgb="FF374151"/>
      <name val="Carlito"/>
    </font>
    <font>
      <b/>
      <sz val="20"/>
      <color rgb="FF374151"/>
      <name val="Carlito"/>
    </font>
    <font>
      <b/>
      <sz val="10"/>
      <color rgb="FF166534"/>
      <name val="Carlito"/>
    </font>
    <font>
      <b/>
      <sz val="20"/>
      <color rgb="FF166534"/>
      <name val="Carlito"/>
    </font>
    <font>
      <b/>
      <sz val="10"/>
      <color rgb="FF92400E"/>
      <name val="Carlito"/>
    </font>
    <font>
      <b/>
      <sz val="20"/>
      <color rgb="FF92400E"/>
      <name val="Carlito"/>
    </font>
    <font>
      <b/>
      <sz val="10"/>
      <color rgb="FF991B1B"/>
      <name val="Carlito"/>
    </font>
    <font>
      <b/>
      <sz val="20"/>
      <color rgb="FF991B1B"/>
      <name val="Carlito"/>
    </font>
    <font>
      <b/>
      <sz val="10"/>
      <color rgb="FF1E40AF"/>
      <name val="Carlito"/>
    </font>
    <font>
      <b/>
      <sz val="20"/>
      <color rgb="FF1E40AF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i/>
      <sz val="11"/>
      <color rgb="FF065F46"/>
      <name val="Carlito"/>
    </font>
    <font>
      <b/>
      <sz val="11"/>
      <color rgb="FF92400E"/>
      <name val="Carlito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134E4A"/>
      </patternFill>
    </fill>
    <fill>
      <patternFill patternType="solid">
        <fgColor rgb="FFE5E7EB"/>
      </patternFill>
    </fill>
  </fills>
  <borders count="21">
    <border>
      <left/>
      <right/>
      <top/>
      <bottom/>
      <diagonal/>
    </border>
    <border>
      <left style="thin">
        <color rgb="FF0B5F59"/>
      </left>
      <right/>
      <top style="thin">
        <color rgb="FF0B5F59"/>
      </top>
      <bottom style="thin">
        <color rgb="FF0B5F59"/>
      </bottom>
      <diagonal/>
    </border>
    <border>
      <left/>
      <right/>
      <top style="thin">
        <color rgb="FF0B5F59"/>
      </top>
      <bottom style="thin">
        <color rgb="FF0B5F59"/>
      </bottom>
      <diagonal/>
    </border>
    <border>
      <left/>
      <right style="thin">
        <color rgb="FF0B5F59"/>
      </right>
      <top style="thin">
        <color rgb="FF0B5F59"/>
      </top>
      <bottom style="thin">
        <color rgb="FF0B5F59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double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double">
        <color rgb="FF9CA3AF"/>
      </bottom>
      <diagonal/>
    </border>
  </borders>
  <cellStyleXfs count="2">
    <xf numFmtId="0" fontId="0" fillId="0" borderId="0"/>
    <xf numFmtId="0" fontId="19" fillId="0" borderId="0"/>
  </cellStyleXfs>
  <cellXfs count="74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15" fillId="9" borderId="0" xfId="1" applyFont="1" applyFill="1" applyAlignment="1">
      <alignment horizontal="center"/>
    </xf>
    <xf numFmtId="0" fontId="15" fillId="9" borderId="0" xfId="1" applyFont="1" applyFill="1" applyAlignment="1">
      <alignment horizontal="center" vertical="center"/>
    </xf>
    <xf numFmtId="0" fontId="0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15" xfId="1" applyFont="1" applyBorder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 applyAlignment="1">
      <alignment vertical="center"/>
    </xf>
    <xf numFmtId="0" fontId="0" fillId="0" borderId="18" xfId="1" applyFont="1" applyBorder="1" applyAlignment="1">
      <alignment vertical="center"/>
    </xf>
    <xf numFmtId="0" fontId="16" fillId="10" borderId="19" xfId="1" applyFont="1" applyFill="1" applyBorder="1" applyAlignment="1">
      <alignment vertical="center"/>
    </xf>
    <xf numFmtId="3" fontId="0" fillId="0" borderId="11" xfId="1" applyNumberFormat="1" applyFont="1" applyBorder="1" applyAlignment="1">
      <alignment horizontal="center" vertical="center"/>
    </xf>
    <xf numFmtId="3" fontId="0" fillId="0" borderId="12" xfId="1" applyNumberFormat="1" applyFont="1" applyBorder="1" applyAlignment="1">
      <alignment horizontal="center" vertical="center"/>
    </xf>
    <xf numFmtId="3" fontId="0" fillId="0" borderId="14" xfId="1" applyNumberFormat="1" applyFont="1" applyBorder="1" applyAlignment="1">
      <alignment horizontal="center" vertical="center"/>
    </xf>
    <xf numFmtId="3" fontId="0" fillId="0" borderId="15" xfId="1" applyNumberFormat="1" applyFont="1" applyBorder="1" applyAlignment="1">
      <alignment horizontal="center" vertical="center"/>
    </xf>
    <xf numFmtId="3" fontId="16" fillId="10" borderId="20" xfId="1" applyNumberFormat="1" applyFont="1" applyFill="1" applyBorder="1" applyAlignment="1">
      <alignment horizontal="center" vertical="center"/>
    </xf>
    <xf numFmtId="0" fontId="0" fillId="0" borderId="10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  <xf numFmtId="0" fontId="0" fillId="0" borderId="13" xfId="1" applyFont="1" applyBorder="1" applyAlignment="1">
      <alignment vertical="center" wrapText="1"/>
    </xf>
    <xf numFmtId="0" fontId="0" fillId="0" borderId="14" xfId="1" applyFont="1" applyBorder="1" applyAlignment="1">
      <alignment vertical="center" wrapText="1"/>
    </xf>
    <xf numFmtId="0" fontId="0" fillId="0" borderId="16" xfId="1" applyFont="1" applyBorder="1" applyAlignment="1">
      <alignment vertical="center" wrapText="1"/>
    </xf>
    <xf numFmtId="0" fontId="0" fillId="0" borderId="17" xfId="1" applyFont="1" applyBorder="1" applyAlignment="1">
      <alignment vertical="center" wrapText="1"/>
    </xf>
    <xf numFmtId="0" fontId="3" fillId="2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7" xfId="1" applyFont="1" applyFill="1" applyBorder="1" applyAlignment="1">
      <alignment horizontal="center" vertical="center"/>
    </xf>
    <xf numFmtId="0" fontId="12" fillId="7" borderId="8" xfId="1" applyFont="1" applyFill="1" applyBorder="1" applyAlignment="1">
      <alignment horizontal="center" vertical="center"/>
    </xf>
    <xf numFmtId="0" fontId="12" fillId="7" borderId="9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14" fillId="8" borderId="6" xfId="1" applyFont="1" applyFill="1" applyBorder="1" applyAlignment="1">
      <alignment horizontal="center" vertical="center"/>
    </xf>
    <xf numFmtId="0" fontId="14" fillId="8" borderId="7" xfId="1" applyFont="1" applyFill="1" applyBorder="1" applyAlignment="1">
      <alignment horizontal="center" vertical="center"/>
    </xf>
    <xf numFmtId="0" fontId="14" fillId="8" borderId="8" xfId="1" applyFont="1" applyFill="1" applyBorder="1" applyAlignment="1">
      <alignment horizontal="center" vertical="center"/>
    </xf>
    <xf numFmtId="0" fontId="14" fillId="8" borderId="9" xfId="1" applyFont="1" applyFill="1" applyBorder="1" applyAlignment="1">
      <alignment horizontal="center" vertical="center"/>
    </xf>
    <xf numFmtId="0" fontId="17" fillId="3" borderId="0" xfId="1" applyFont="1" applyFill="1" applyAlignment="1">
      <alignment wrapText="1"/>
    </xf>
    <xf numFmtId="0" fontId="15" fillId="9" borderId="0" xfId="1" applyFont="1" applyFill="1" applyAlignment="1">
      <alignment horizontal="center"/>
    </xf>
    <xf numFmtId="0" fontId="0" fillId="0" borderId="11" xfId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  <xf numFmtId="0" fontId="0" fillId="0" borderId="14" xfId="1" applyFont="1" applyBorder="1" applyAlignment="1">
      <alignment vertical="center" wrapText="1"/>
    </xf>
    <xf numFmtId="0" fontId="0" fillId="0" borderId="15" xfId="1" applyFont="1" applyBorder="1" applyAlignment="1">
      <alignment vertical="center" wrapText="1"/>
    </xf>
    <xf numFmtId="0" fontId="0" fillId="0" borderId="17" xfId="1" applyFont="1" applyBorder="1" applyAlignment="1">
      <alignment vertical="center" wrapText="1"/>
    </xf>
    <xf numFmtId="0" fontId="0" fillId="0" borderId="18" xfId="1" applyFont="1" applyBorder="1" applyAlignment="1">
      <alignment vertical="center" wrapText="1"/>
    </xf>
    <xf numFmtId="0" fontId="18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4"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taurantCandidates" displayName="RestaurantCandidates" ref="A1:U461" totalsRowShown="0">
  <autoFilter ref="A1:U461" xr:uid="{00000000-0009-0000-0100-000001000000}">
    <filterColumn colId="0">
      <filters>
        <filter val="pending"/>
      </filters>
    </filterColumn>
  </autoFilter>
  <tableColumns count="21">
    <tableColumn id="1" xr3:uid="{00000000-0010-0000-0000-000001000000}" name="검토 상태_x000a_review_status"/>
    <tableColumn id="2" xr3:uid="{00000000-0010-0000-0000-000002000000}" name="구_x000a_district"/>
    <tableColumn id="3" xr3:uid="{00000000-0010-0000-0000-000003000000}" name="상호명_x000a_name"/>
    <tableColumn id="4" xr3:uid="{00000000-0010-0000-0000-000004000000}" name="업종_x000a_category"/>
    <tableColumn id="5" xr3:uid="{00000000-0010-0000-0000-000005000000}" name="추천 점수_x000a_recommendation_score"/>
    <tableColumn id="6" xr3:uid="{00000000-0010-0000-0000-000006000000}" name="추천 이유_x000a_recommendation_reason"/>
    <tableColumn id="7" xr3:uid="{00000000-0010-0000-0000-000007000000}" name="지번 주소_x000a_address"/>
    <tableColumn id="8" xr3:uid="{00000000-0010-0000-0000-000008000000}" name="도로명 주소_x000a_road_address"/>
    <tableColumn id="9" xr3:uid="{00000000-0010-0000-0000-000009000000}" name="블로그 확인_x000a_blog_search_url"/>
    <tableColumn id="10" xr3:uid="{00000000-0010-0000-0000-00000A000000}" name="업체 링크_x000a_naver_link"/>
    <tableColumn id="11" xr3:uid="{00000000-0010-0000-0000-00000B000000}" name="중복 가능성_x000a_possible_duplicate"/>
    <tableColumn id="12" xr3:uid="{00000000-0010-0000-0000-00000C000000}" name="제외 사유_x000a_reject_reason"/>
    <tableColumn id="13" xr3:uid="{00000000-0010-0000-0000-00000D000000}" name="최근 게시일_x000a_latest_post_date"/>
    <tableColumn id="14" xr3:uid="{00000000-0010-0000-0000-00000E000000}" name="최근 글 수_x000a_recent_blog_count"/>
    <tableColumn id="15" xr3:uid="{00000000-0010-0000-0000-00000F000000}" name="블로거 수_x000a_distinct_blogger_count"/>
    <tableColumn id="16" xr3:uid="{00000000-0010-0000-0000-000010000000}" name="검색 결과 수_x000a_blog_result_count"/>
    <tableColumn id="17" xr3:uid="{00000000-0010-0000-0000-000011000000}" name="지역 노출 수_x000a_local_hit_count"/>
    <tableColumn id="18" xr3:uid="{00000000-0010-0000-0000-000012000000}" name="리뷰순 노출 수_x000a_comment_sort_hit_count"/>
    <tableColumn id="19" xr3:uid="{00000000-0010-0000-0000-000013000000}" name="발견 검색어_x000a_matched_queries"/>
    <tableColumn id="20" xr3:uid="{00000000-0010-0000-0000-000014000000}" name="위도_x000a_latitude"/>
    <tableColumn id="21" xr3:uid="{00000000-0010-0000-0000-000015000000}" name="경도_x000a_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workbookViewId="0">
      <selection sqref="A1:N2"/>
    </sheetView>
  </sheetViews>
  <sheetFormatPr defaultRowHeight="14.25"/>
  <cols>
    <col min="1" max="1" width="14" customWidth="1"/>
    <col min="2" max="6" width="12" customWidth="1"/>
    <col min="7" max="14" width="10" customWidth="1"/>
  </cols>
  <sheetData>
    <row r="1" spans="1:1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7.95" customHeight="1">
      <c r="A4" s="34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6" spans="1:14">
      <c r="A6" s="35" t="s">
        <v>2</v>
      </c>
      <c r="B6" s="36"/>
      <c r="D6" s="41" t="s">
        <v>3</v>
      </c>
      <c r="E6" s="42"/>
      <c r="G6" s="47" t="s">
        <v>4</v>
      </c>
      <c r="H6" s="48"/>
      <c r="J6" s="53" t="s">
        <v>5</v>
      </c>
      <c r="K6" s="54"/>
      <c r="M6" s="59" t="s">
        <v>6</v>
      </c>
      <c r="N6" s="60"/>
    </row>
    <row r="7" spans="1:14">
      <c r="A7" s="37">
        <f>COUNTIF('후보 검토'!$A$2:$A$461,"pending")</f>
        <v>438</v>
      </c>
      <c r="B7" s="38"/>
      <c r="D7" s="43">
        <f>COUNTIF('후보 검토'!$A$2:$A$461,"approved")</f>
        <v>0</v>
      </c>
      <c r="E7" s="44"/>
      <c r="G7" s="49">
        <f>COUNTIF('후보 검토'!$A$2:$A$461,"hold")</f>
        <v>0</v>
      </c>
      <c r="H7" s="50"/>
      <c r="J7" s="55">
        <f>COUNTIF('후보 검토'!$A$2:$A$461,"rejected")</f>
        <v>22</v>
      </c>
      <c r="K7" s="56"/>
      <c r="M7" s="61">
        <f>COUNTA('후보 검토'!$C$2:$C$461)</f>
        <v>460</v>
      </c>
      <c r="N7" s="62"/>
    </row>
    <row r="8" spans="1:14">
      <c r="A8" s="39"/>
      <c r="B8" s="40"/>
      <c r="D8" s="45"/>
      <c r="E8" s="46"/>
      <c r="G8" s="51"/>
      <c r="H8" s="52"/>
      <c r="J8" s="57"/>
      <c r="K8" s="58"/>
      <c r="M8" s="63"/>
      <c r="N8" s="64"/>
    </row>
    <row r="11" spans="1:14" ht="24" customHeight="1">
      <c r="A11" s="11" t="s">
        <v>7</v>
      </c>
      <c r="B11" s="11" t="s">
        <v>8</v>
      </c>
      <c r="C11" s="11" t="s">
        <v>2</v>
      </c>
      <c r="D11" s="11" t="s">
        <v>3</v>
      </c>
      <c r="E11" s="11" t="s">
        <v>4</v>
      </c>
      <c r="F11" s="11" t="s">
        <v>5</v>
      </c>
    </row>
    <row r="12" spans="1:14" ht="24" customHeight="1">
      <c r="A12" s="12" t="s">
        <v>9</v>
      </c>
      <c r="B12" s="22">
        <f>COUNTIF('후보 검토'!$B$2:$B$461,A12)</f>
        <v>100</v>
      </c>
      <c r="C12" s="22">
        <f>COUNTIFS('후보 검토'!$B$2:$B$461,A12,'후보 검토'!$A$2:$A$461,"pending")</f>
        <v>95</v>
      </c>
      <c r="D12" s="22">
        <f>COUNTIFS('후보 검토'!$B$2:$B$461,A12,'후보 검토'!$A$2:$A$461,"approved")</f>
        <v>0</v>
      </c>
      <c r="E12" s="22">
        <f>COUNTIFS('후보 검토'!$B$2:$B$461,A12,'후보 검토'!$A$2:$A$461,"hold")</f>
        <v>0</v>
      </c>
      <c r="F12" s="23">
        <f>COUNTIFS('후보 검토'!$B$2:$B$461,A12,'후보 검토'!$A$2:$A$461,"rejected")</f>
        <v>5</v>
      </c>
    </row>
    <row r="13" spans="1:14" ht="24" customHeight="1">
      <c r="A13" s="15" t="s">
        <v>10</v>
      </c>
      <c r="B13" s="24">
        <f>COUNTIF('후보 검토'!$B$2:$B$461,A13)</f>
        <v>100</v>
      </c>
      <c r="C13" s="24">
        <f>COUNTIFS('후보 검토'!$B$2:$B$461,A13,'후보 검토'!$A$2:$A$461,"pending")</f>
        <v>91</v>
      </c>
      <c r="D13" s="24">
        <f>COUNTIFS('후보 검토'!$B$2:$B$461,A13,'후보 검토'!$A$2:$A$461,"approved")</f>
        <v>0</v>
      </c>
      <c r="E13" s="24">
        <f>COUNTIFS('후보 검토'!$B$2:$B$461,A13,'후보 검토'!$A$2:$A$461,"hold")</f>
        <v>0</v>
      </c>
      <c r="F13" s="25">
        <f>COUNTIFS('후보 검토'!$B$2:$B$461,A13,'후보 검토'!$A$2:$A$461,"rejected")</f>
        <v>9</v>
      </c>
    </row>
    <row r="14" spans="1:14" ht="24" customHeight="1">
      <c r="A14" s="15" t="s">
        <v>11</v>
      </c>
      <c r="B14" s="24">
        <f>COUNTIF('후보 검토'!$B$2:$B$461,A14)</f>
        <v>100</v>
      </c>
      <c r="C14" s="24">
        <f>COUNTIFS('후보 검토'!$B$2:$B$461,A14,'후보 검토'!$A$2:$A$461,"pending")</f>
        <v>99</v>
      </c>
      <c r="D14" s="24">
        <f>COUNTIFS('후보 검토'!$B$2:$B$461,A14,'후보 검토'!$A$2:$A$461,"approved")</f>
        <v>0</v>
      </c>
      <c r="E14" s="24">
        <f>COUNTIFS('후보 검토'!$B$2:$B$461,A14,'후보 검토'!$A$2:$A$461,"hold")</f>
        <v>0</v>
      </c>
      <c r="F14" s="25">
        <f>COUNTIFS('후보 검토'!$B$2:$B$461,A14,'후보 검토'!$A$2:$A$461,"rejected")</f>
        <v>1</v>
      </c>
    </row>
    <row r="15" spans="1:14" ht="24" customHeight="1">
      <c r="A15" s="15" t="s">
        <v>12</v>
      </c>
      <c r="B15" s="24">
        <f>COUNTIF('후보 검토'!$B$2:$B$461,A15)</f>
        <v>100</v>
      </c>
      <c r="C15" s="24">
        <f>COUNTIFS('후보 검토'!$B$2:$B$461,A15,'후보 검토'!$A$2:$A$461,"pending")</f>
        <v>95</v>
      </c>
      <c r="D15" s="24">
        <f>COUNTIFS('후보 검토'!$B$2:$B$461,A15,'후보 검토'!$A$2:$A$461,"approved")</f>
        <v>0</v>
      </c>
      <c r="E15" s="24">
        <f>COUNTIFS('후보 검토'!$B$2:$B$461,A15,'후보 검토'!$A$2:$A$461,"hold")</f>
        <v>0</v>
      </c>
      <c r="F15" s="25">
        <f>COUNTIFS('후보 검토'!$B$2:$B$461,A15,'후보 검토'!$A$2:$A$461,"rejected")</f>
        <v>5</v>
      </c>
    </row>
    <row r="16" spans="1:14" ht="24" customHeight="1">
      <c r="A16" s="15" t="s">
        <v>13</v>
      </c>
      <c r="B16" s="24">
        <f>COUNTIF('후보 검토'!$B$2:$B$461,A16)</f>
        <v>60</v>
      </c>
      <c r="C16" s="24">
        <f>COUNTIFS('후보 검토'!$B$2:$B$461,A16,'후보 검토'!$A$2:$A$461,"pending")</f>
        <v>58</v>
      </c>
      <c r="D16" s="24">
        <f>COUNTIFS('후보 검토'!$B$2:$B$461,A16,'후보 검토'!$A$2:$A$461,"approved")</f>
        <v>0</v>
      </c>
      <c r="E16" s="24">
        <f>COUNTIFS('후보 검토'!$B$2:$B$461,A16,'후보 검토'!$A$2:$A$461,"hold")</f>
        <v>0</v>
      </c>
      <c r="F16" s="25">
        <f>COUNTIFS('후보 검토'!$B$2:$B$461,A16,'후보 검토'!$A$2:$A$461,"rejected")</f>
        <v>2</v>
      </c>
    </row>
    <row r="17" spans="1:6" ht="24" customHeight="1">
      <c r="A17" s="21" t="s">
        <v>14</v>
      </c>
      <c r="B17" s="26">
        <f>SUM(B12:B16)</f>
        <v>460</v>
      </c>
      <c r="C17" s="26">
        <f>SUM(C12:C16)</f>
        <v>438</v>
      </c>
      <c r="D17" s="26">
        <f>SUM(D12:D16)</f>
        <v>0</v>
      </c>
      <c r="E17" s="26">
        <f>SUM(E12:E16)</f>
        <v>0</v>
      </c>
      <c r="F17" s="26">
        <f>SUM(F12:F16)</f>
        <v>22</v>
      </c>
    </row>
  </sheetData>
  <mergeCells count="12">
    <mergeCell ref="A1:N2"/>
    <mergeCell ref="A4:N4"/>
    <mergeCell ref="A6:B6"/>
    <mergeCell ref="A7:B8"/>
    <mergeCell ref="D6:E6"/>
    <mergeCell ref="D7:E8"/>
    <mergeCell ref="G6:H6"/>
    <mergeCell ref="G7:H8"/>
    <mergeCell ref="J6:K6"/>
    <mergeCell ref="J7:K8"/>
    <mergeCell ref="M6:N6"/>
    <mergeCell ref="M7:N8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1"/>
  <sheetViews>
    <sheetView showGridLines="0" topLeftCell="A54" workbookViewId="0">
      <selection activeCell="A461" sqref="A461"/>
    </sheetView>
  </sheetViews>
  <sheetFormatPr defaultRowHeight="14.25"/>
  <cols>
    <col min="1" max="1" width="14" customWidth="1"/>
    <col min="2" max="2" width="9" customWidth="1"/>
    <col min="3" max="3" width="24" customWidth="1"/>
    <col min="4" max="4" width="22" customWidth="1"/>
    <col min="5" max="5" width="17" customWidth="1"/>
    <col min="6" max="6" width="30" customWidth="1"/>
    <col min="7" max="8" width="31" customWidth="1"/>
    <col min="9" max="10" width="14" customWidth="1"/>
    <col min="11" max="11" width="16" customWidth="1"/>
    <col min="12" max="12" width="22" customWidth="1"/>
    <col min="13" max="13" width="15" customWidth="1"/>
    <col min="14" max="14" width="13" customWidth="1"/>
    <col min="15" max="15" width="15" customWidth="1"/>
    <col min="16" max="16" width="14" customWidth="1"/>
    <col min="17" max="17" width="11" customWidth="1"/>
    <col min="18" max="18" width="12" customWidth="1"/>
    <col min="19" max="19" width="34" customWidth="1"/>
    <col min="20" max="21" width="13" customWidth="1"/>
  </cols>
  <sheetData>
    <row r="1" spans="1:21" ht="39.950000000000003" customHeight="1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3" t="s">
        <v>35</v>
      </c>
    </row>
    <row r="2" spans="1:21" ht="32.1" customHeight="1">
      <c r="A2" s="5" t="s">
        <v>36</v>
      </c>
      <c r="B2" s="5" t="s">
        <v>9</v>
      </c>
      <c r="C2" s="4" t="s">
        <v>37</v>
      </c>
      <c r="D2" s="4" t="s">
        <v>38</v>
      </c>
      <c r="E2" s="6">
        <v>87</v>
      </c>
      <c r="F2" s="4" t="s">
        <v>39</v>
      </c>
      <c r="G2" s="4" t="s">
        <v>40</v>
      </c>
      <c r="H2" s="4" t="s">
        <v>41</v>
      </c>
      <c r="I2" s="5" t="str">
        <f>HYPERLINK("https://search.naver.com/search.naver?where=blog&amp;query=%EB%A7%9B%EC%A7%91%EB%B6%80%EC%B6%94%ED%95%B4%EB%AC%BC%EC%B9%BC%EA%B5%AD%EC%88%98+%EB%8C%80%EB%8D%95%EA%B5%AC","블로그 보기")</f>
        <v>블로그 보기</v>
      </c>
      <c r="J2" s="5"/>
      <c r="K2" s="5"/>
      <c r="L2" s="4"/>
      <c r="M2" s="7">
        <v>46223</v>
      </c>
      <c r="N2" s="8">
        <v>100</v>
      </c>
      <c r="O2" s="8">
        <v>99</v>
      </c>
      <c r="P2" s="8">
        <v>95913</v>
      </c>
      <c r="Q2" s="8">
        <v>9</v>
      </c>
      <c r="R2" s="8">
        <v>4</v>
      </c>
      <c r="S2" s="4" t="s">
        <v>42</v>
      </c>
      <c r="T2" s="9">
        <v>36.4495571</v>
      </c>
      <c r="U2" s="9">
        <v>127.4315926</v>
      </c>
    </row>
    <row r="3" spans="1:21" ht="32.1" customHeight="1">
      <c r="A3" s="5" t="s">
        <v>36</v>
      </c>
      <c r="B3" s="5" t="s">
        <v>9</v>
      </c>
      <c r="C3" s="4" t="s">
        <v>43</v>
      </c>
      <c r="D3" s="4" t="s">
        <v>44</v>
      </c>
      <c r="E3" s="6">
        <v>84</v>
      </c>
      <c r="F3" s="4" t="s">
        <v>45</v>
      </c>
      <c r="G3" s="4" t="s">
        <v>46</v>
      </c>
      <c r="H3" s="4" t="s">
        <v>47</v>
      </c>
      <c r="I3" s="5" t="str">
        <f>HYPERLINK("https://search.naver.com/search.naver?where=blog&amp;query=%EA%B5%90%EB%8F%99%EB%A9%B4%EC%98%A5+%EB%8C%80%EC%A0%84%EC%A4%91%EB%A6%AC%EC%A0%90+%EA%B5%90%EB%8F%99","블로그 보기")</f>
        <v>블로그 보기</v>
      </c>
      <c r="J3" s="5" t="str">
        <f>HYPERLINK("https://www.instagram.com/kyodong_myeonok/","업체 보기")</f>
        <v>업체 보기</v>
      </c>
      <c r="K3" s="5"/>
      <c r="L3" s="4"/>
      <c r="M3" s="7">
        <v>46223</v>
      </c>
      <c r="N3" s="8">
        <v>100</v>
      </c>
      <c r="O3" s="8">
        <v>71</v>
      </c>
      <c r="P3" s="8">
        <v>2705</v>
      </c>
      <c r="Q3" s="8">
        <v>7</v>
      </c>
      <c r="R3" s="8">
        <v>3</v>
      </c>
      <c r="S3" s="4" t="s">
        <v>48</v>
      </c>
      <c r="T3" s="9">
        <v>36.358193900000003</v>
      </c>
      <c r="U3" s="9">
        <v>127.420798</v>
      </c>
    </row>
    <row r="4" spans="1:21" ht="32.1" customHeight="1">
      <c r="A4" s="5" t="s">
        <v>36</v>
      </c>
      <c r="B4" s="5" t="s">
        <v>9</v>
      </c>
      <c r="C4" s="4" t="s">
        <v>49</v>
      </c>
      <c r="D4" s="4" t="s">
        <v>50</v>
      </c>
      <c r="E4" s="6">
        <v>84</v>
      </c>
      <c r="F4" s="4" t="s">
        <v>39</v>
      </c>
      <c r="G4" s="4" t="s">
        <v>51</v>
      </c>
      <c r="H4" s="4" t="s">
        <v>52</v>
      </c>
      <c r="I4" s="5" t="str">
        <f>HYPERLINK("https://search.naver.com/search.naver?where=blog&amp;query=%EC%9A%B0%EB%A6%BC%EC%B9%BC%EA%B5%AD%EC%88%98+%EC%8B%A0%ED%83%84%EC%A7%84%EC%A0%90+%EC%8B%A0%ED%83%84%EC%A7%84%EB%8F%99","블로그 보기")</f>
        <v>블로그 보기</v>
      </c>
      <c r="J4" s="5"/>
      <c r="K4" s="5"/>
      <c r="L4" s="4"/>
      <c r="M4" s="7">
        <v>46221</v>
      </c>
      <c r="N4" s="8">
        <v>100</v>
      </c>
      <c r="O4" s="8">
        <v>100</v>
      </c>
      <c r="P4" s="8">
        <v>264</v>
      </c>
      <c r="Q4" s="8">
        <v>5</v>
      </c>
      <c r="R4" s="8">
        <v>4</v>
      </c>
      <c r="S4" s="4" t="s">
        <v>53</v>
      </c>
      <c r="T4" s="9">
        <v>36.447410400000003</v>
      </c>
      <c r="U4" s="9">
        <v>127.4313714</v>
      </c>
    </row>
    <row r="5" spans="1:21" ht="32.1" customHeight="1">
      <c r="A5" s="5" t="s">
        <v>36</v>
      </c>
      <c r="B5" s="5" t="s">
        <v>9</v>
      </c>
      <c r="C5" s="4" t="s">
        <v>54</v>
      </c>
      <c r="D5" s="4" t="s">
        <v>55</v>
      </c>
      <c r="E5" s="6">
        <v>81</v>
      </c>
      <c r="F5" s="4" t="s">
        <v>56</v>
      </c>
      <c r="G5" s="4" t="s">
        <v>57</v>
      </c>
      <c r="H5" s="4" t="s">
        <v>58</v>
      </c>
      <c r="I5" s="5" t="str">
        <f>HYPERLINK("https://search.naver.com/search.naver?where=blog&amp;query=%EC%98%A4%EB%AC%B8%EC%B0%BD%EC%88%9C%EB%8C%80%EA%B5%AD%EB%B0%A5+%EB%8C%80%EB%8D%95%EA%B5%AC","블로그 보기")</f>
        <v>블로그 보기</v>
      </c>
      <c r="J5" s="5"/>
      <c r="K5" s="5"/>
      <c r="L5" s="4"/>
      <c r="M5" s="7">
        <v>46223</v>
      </c>
      <c r="N5" s="8">
        <v>100</v>
      </c>
      <c r="O5" s="8">
        <v>97</v>
      </c>
      <c r="P5" s="8">
        <v>2146</v>
      </c>
      <c r="Q5" s="8">
        <v>7</v>
      </c>
      <c r="R5" s="8">
        <v>4</v>
      </c>
      <c r="S5" s="4" t="s">
        <v>59</v>
      </c>
      <c r="T5" s="9">
        <v>36.359233000000003</v>
      </c>
      <c r="U5" s="9">
        <v>127.4265662</v>
      </c>
    </row>
    <row r="6" spans="1:21" ht="32.1" customHeight="1">
      <c r="A6" s="5" t="s">
        <v>36</v>
      </c>
      <c r="B6" s="5" t="s">
        <v>9</v>
      </c>
      <c r="C6" s="4" t="s">
        <v>60</v>
      </c>
      <c r="D6" s="4" t="s">
        <v>38</v>
      </c>
      <c r="E6" s="6">
        <v>79</v>
      </c>
      <c r="F6" s="4" t="s">
        <v>39</v>
      </c>
      <c r="G6" s="4" t="s">
        <v>61</v>
      </c>
      <c r="H6" s="4" t="s">
        <v>62</v>
      </c>
      <c r="I6" s="5" t="str">
        <f>HYPERLINK("https://search.naver.com/search.naver?where=blog&amp;query=%EA%B3%B5%EC%A3%BC%EC%8C%8D%EC%8B%A0%EC%A7%91%EC%B9%BC%EA%B5%AD%EC%88%98+%EB%8C%80%EC%B2%AD%EB%8C%90%EC%A0%90+%EB%8C%80%EB%8D%95%EA%B5%AC","블로그 보기")</f>
        <v>블로그 보기</v>
      </c>
      <c r="J6" s="5" t="str">
        <f>HYPERLINK("https://app.catchtable.co.kr/ct/shop/gongjussangsin","업체 보기")</f>
        <v>업체 보기</v>
      </c>
      <c r="K6" s="5"/>
      <c r="L6" s="4"/>
      <c r="M6" s="7">
        <v>46223</v>
      </c>
      <c r="N6" s="8">
        <v>100</v>
      </c>
      <c r="O6" s="8">
        <v>92</v>
      </c>
      <c r="P6" s="8">
        <v>1031</v>
      </c>
      <c r="Q6" s="8">
        <v>4</v>
      </c>
      <c r="R6" s="8">
        <v>3</v>
      </c>
      <c r="S6" s="4" t="s">
        <v>63</v>
      </c>
      <c r="T6" s="9">
        <v>36.470008100000001</v>
      </c>
      <c r="U6" s="9">
        <v>127.47226620000001</v>
      </c>
    </row>
    <row r="7" spans="1:21" ht="32.1" customHeight="1">
      <c r="A7" s="5" t="s">
        <v>36</v>
      </c>
      <c r="B7" s="5" t="s">
        <v>9</v>
      </c>
      <c r="C7" s="4" t="s">
        <v>64</v>
      </c>
      <c r="D7" s="4" t="s">
        <v>65</v>
      </c>
      <c r="E7" s="6">
        <v>72</v>
      </c>
      <c r="F7" s="4" t="s">
        <v>66</v>
      </c>
      <c r="G7" s="4" t="s">
        <v>67</v>
      </c>
      <c r="H7" s="4" t="s">
        <v>68</v>
      </c>
      <c r="I7" s="5" t="str">
        <f>HYPERLINK("https://search.naver.com/search.naver?where=blog&amp;query=%ED%98%95%EC%A0%9C%ED%9A%9F%EC%A7%91+%EB%8C%80%EB%8D%95%EA%B5%AC","블로그 보기")</f>
        <v>블로그 보기</v>
      </c>
      <c r="J7" s="5"/>
      <c r="K7" s="5"/>
      <c r="L7" s="4"/>
      <c r="M7" s="7">
        <v>46211</v>
      </c>
      <c r="N7" s="8">
        <v>76</v>
      </c>
      <c r="O7" s="8">
        <v>93</v>
      </c>
      <c r="P7" s="8">
        <v>317</v>
      </c>
      <c r="Q7" s="8">
        <v>4</v>
      </c>
      <c r="R7" s="8">
        <v>3</v>
      </c>
      <c r="S7" s="4" t="s">
        <v>69</v>
      </c>
      <c r="T7" s="9">
        <v>36.365737899999999</v>
      </c>
      <c r="U7" s="9">
        <v>127.42639269999999</v>
      </c>
    </row>
    <row r="8" spans="1:21" ht="32.1" customHeight="1">
      <c r="A8" s="5" t="s">
        <v>36</v>
      </c>
      <c r="B8" s="5" t="s">
        <v>9</v>
      </c>
      <c r="C8" s="4" t="s">
        <v>70</v>
      </c>
      <c r="D8" s="4" t="s">
        <v>71</v>
      </c>
      <c r="E8" s="6">
        <v>69</v>
      </c>
      <c r="F8" s="4" t="s">
        <v>72</v>
      </c>
      <c r="G8" s="4" t="s">
        <v>73</v>
      </c>
      <c r="H8" s="4" t="s">
        <v>74</v>
      </c>
      <c r="I8" s="5" t="str">
        <f>HYPERLINK("https://search.naver.com/search.naver?where=blog&amp;query=%EB%82%98%EB%9E%98%EC%9B%90+%EB%B9%84%EB%9E%98%EB%8F%99","블로그 보기")</f>
        <v>블로그 보기</v>
      </c>
      <c r="J8" s="5"/>
      <c r="K8" s="5"/>
      <c r="L8" s="4"/>
      <c r="M8" s="7">
        <v>46220</v>
      </c>
      <c r="N8" s="8">
        <v>36</v>
      </c>
      <c r="O8" s="8">
        <v>81</v>
      </c>
      <c r="P8" s="8">
        <v>363</v>
      </c>
      <c r="Q8" s="8">
        <v>4</v>
      </c>
      <c r="R8" s="8">
        <v>2</v>
      </c>
      <c r="S8" s="4" t="s">
        <v>75</v>
      </c>
      <c r="T8" s="9">
        <v>36.355185800000001</v>
      </c>
      <c r="U8" s="9">
        <v>127.4506385</v>
      </c>
    </row>
    <row r="9" spans="1:21" ht="32.1" customHeight="1">
      <c r="A9" s="5" t="s">
        <v>36</v>
      </c>
      <c r="B9" s="5" t="s">
        <v>9</v>
      </c>
      <c r="C9" s="4" t="s">
        <v>76</v>
      </c>
      <c r="D9" s="4" t="s">
        <v>77</v>
      </c>
      <c r="E9" s="6">
        <v>68</v>
      </c>
      <c r="F9" s="4" t="s">
        <v>78</v>
      </c>
      <c r="G9" s="4" t="s">
        <v>79</v>
      </c>
      <c r="H9" s="4" t="s">
        <v>80</v>
      </c>
      <c r="I9" s="5" t="str">
        <f>HYPERLINK("https://search.naver.com/search.naver?where=blog&amp;query=%EB%B0%B1%EB%A7%88%EA%B0%95%EC%B0%B8%EC%88%AF%EB%AF%BC%EB%AC%BC%EC%9E%A5%EC%96%B4+%EB%8C%80%EB%8D%95%EA%B5%AC","블로그 보기")</f>
        <v>블로그 보기</v>
      </c>
      <c r="J9" s="5"/>
      <c r="K9" s="5"/>
      <c r="L9" s="4"/>
      <c r="M9" s="7">
        <v>46215</v>
      </c>
      <c r="N9" s="8">
        <v>31</v>
      </c>
      <c r="O9" s="8">
        <v>92</v>
      </c>
      <c r="P9" s="8">
        <v>142</v>
      </c>
      <c r="Q9" s="8">
        <v>4</v>
      </c>
      <c r="R9" s="8">
        <v>2</v>
      </c>
      <c r="S9" s="4" t="s">
        <v>81</v>
      </c>
      <c r="T9" s="9">
        <v>36.352251000000003</v>
      </c>
      <c r="U9" s="9">
        <v>127.4431438</v>
      </c>
    </row>
    <row r="10" spans="1:21" ht="32.1" customHeight="1">
      <c r="A10" s="5" t="s">
        <v>36</v>
      </c>
      <c r="B10" s="5" t="s">
        <v>9</v>
      </c>
      <c r="C10" s="4" t="s">
        <v>82</v>
      </c>
      <c r="D10" s="4" t="s">
        <v>55</v>
      </c>
      <c r="E10" s="6">
        <v>67</v>
      </c>
      <c r="F10" s="4" t="s">
        <v>56</v>
      </c>
      <c r="G10" s="4" t="s">
        <v>83</v>
      </c>
      <c r="H10" s="4" t="s">
        <v>84</v>
      </c>
      <c r="I10" s="5" t="str">
        <f>HYPERLINK("https://search.naver.com/search.naver?where=blog&amp;query=%EC%98%A5%EC%B2%9C%EC%88%9C%EB%8C%80%EB%A7%A4%EC%9A%B4%EC%A1%B1%EB%B0%9C+%EB%8C%80%EB%8D%95%EA%B5%AC","블로그 보기")</f>
        <v>블로그 보기</v>
      </c>
      <c r="J10" s="5"/>
      <c r="K10" s="5"/>
      <c r="L10" s="4"/>
      <c r="M10" s="7">
        <v>46220</v>
      </c>
      <c r="N10" s="8">
        <v>100</v>
      </c>
      <c r="O10" s="8">
        <v>94</v>
      </c>
      <c r="P10" s="8">
        <v>1483</v>
      </c>
      <c r="Q10" s="8">
        <v>3</v>
      </c>
      <c r="R10" s="8">
        <v>2</v>
      </c>
      <c r="S10" s="4" t="s">
        <v>85</v>
      </c>
      <c r="T10" s="9">
        <v>36.356477400000003</v>
      </c>
      <c r="U10" s="9">
        <v>127.4438293</v>
      </c>
    </row>
    <row r="11" spans="1:21" ht="32.1" customHeight="1">
      <c r="A11" s="5" t="s">
        <v>36</v>
      </c>
      <c r="B11" s="5" t="s">
        <v>9</v>
      </c>
      <c r="C11" s="4" t="s">
        <v>86</v>
      </c>
      <c r="D11" s="4" t="s">
        <v>50</v>
      </c>
      <c r="E11" s="6">
        <v>66</v>
      </c>
      <c r="F11" s="4" t="s">
        <v>87</v>
      </c>
      <c r="G11" s="4" t="s">
        <v>88</v>
      </c>
      <c r="H11" s="4" t="s">
        <v>89</v>
      </c>
      <c r="I11" s="5" t="str">
        <f>HYPERLINK("https://search.naver.com/search.naver?where=blog&amp;query=%EC%96%91%ED%8F%89%EC%B9%BC%EA%B5%AD%EC%88%98%EC%BD%A9%EA%B5%AD%EC%88%98+%EB%B3%B8%EC%A0%90+%EB%8C%80%EB%8D%95%EA%B5%AC","블로그 보기")</f>
        <v>블로그 보기</v>
      </c>
      <c r="J11" s="5" t="str">
        <f>HYPERLINK("https://www.instagram.com/yangpyeong_kalguksu","업체 보기")</f>
        <v>업체 보기</v>
      </c>
      <c r="K11" s="5"/>
      <c r="L11" s="4"/>
      <c r="M11" s="7">
        <v>46223</v>
      </c>
      <c r="N11" s="8">
        <v>100</v>
      </c>
      <c r="O11" s="8">
        <v>96</v>
      </c>
      <c r="P11" s="8">
        <v>1224</v>
      </c>
      <c r="Q11" s="8">
        <v>1</v>
      </c>
      <c r="R11" s="8">
        <v>1</v>
      </c>
      <c r="S11" s="4" t="s">
        <v>90</v>
      </c>
      <c r="T11" s="9">
        <v>36.361129800000001</v>
      </c>
      <c r="U11" s="9">
        <v>127.42854819999999</v>
      </c>
    </row>
    <row r="12" spans="1:21" ht="32.1" customHeight="1">
      <c r="A12" s="5" t="s">
        <v>36</v>
      </c>
      <c r="B12" s="5" t="s">
        <v>9</v>
      </c>
      <c r="C12" s="4" t="s">
        <v>91</v>
      </c>
      <c r="D12" s="4" t="s">
        <v>38</v>
      </c>
      <c r="E12" s="6">
        <v>65</v>
      </c>
      <c r="F12" s="4" t="s">
        <v>39</v>
      </c>
      <c r="G12" s="4" t="s">
        <v>92</v>
      </c>
      <c r="H12" s="4" t="s">
        <v>93</v>
      </c>
      <c r="I12" s="5" t="str">
        <f>HYPERLINK("https://search.naver.com/search.naver?where=blog&amp;query=%EC%96%91%ED%8F%89%EC%B9%BC%EA%B5%AD%EC%88%98+%EB%8C%80%EB%8D%95%EA%B5%AC","블로그 보기")</f>
        <v>블로그 보기</v>
      </c>
      <c r="J12" s="5"/>
      <c r="K12" s="5"/>
      <c r="L12" s="4"/>
      <c r="M12" s="7">
        <v>46220</v>
      </c>
      <c r="N12" s="8">
        <v>100</v>
      </c>
      <c r="O12" s="8">
        <v>100</v>
      </c>
      <c r="P12" s="8">
        <v>540</v>
      </c>
      <c r="Q12" s="8">
        <v>3</v>
      </c>
      <c r="R12" s="8">
        <v>0</v>
      </c>
      <c r="S12" s="4" t="s">
        <v>94</v>
      </c>
      <c r="T12" s="9">
        <v>36.447082299999998</v>
      </c>
      <c r="U12" s="9">
        <v>127.4213175</v>
      </c>
    </row>
    <row r="13" spans="1:21" ht="32.1" customHeight="1">
      <c r="A13" s="5" t="s">
        <v>36</v>
      </c>
      <c r="B13" s="5" t="s">
        <v>9</v>
      </c>
      <c r="C13" s="4" t="s">
        <v>95</v>
      </c>
      <c r="D13" s="4" t="s">
        <v>96</v>
      </c>
      <c r="E13" s="6">
        <v>64</v>
      </c>
      <c r="F13" s="4" t="s">
        <v>97</v>
      </c>
      <c r="G13" s="4" t="s">
        <v>98</v>
      </c>
      <c r="H13" s="4" t="s">
        <v>99</v>
      </c>
      <c r="I13" s="5" t="str">
        <f>HYPERLINK("https://search.naver.com/search.naver?where=blog&amp;query=%EB%A7%8C%EB%82%98%EC%88%AF%EB%B6%88%EA%B5%AC%EC%9D%B4+%EC%A4%91%EB%A6%AC%EB%8F%99%EB%B3%B8%EC%A0%90+%EB%8C%80%EB%8D%95%EA%B5%AC","블로그 보기")</f>
        <v>블로그 보기</v>
      </c>
      <c r="J13" s="5" t="str">
        <f>HYPERLINK("https://blog.naver.com/kong7249","업체 보기")</f>
        <v>업체 보기</v>
      </c>
      <c r="K13" s="5"/>
      <c r="L13" s="4"/>
      <c r="M13" s="7">
        <v>46220</v>
      </c>
      <c r="N13" s="8">
        <v>100</v>
      </c>
      <c r="O13" s="8">
        <v>90</v>
      </c>
      <c r="P13" s="8">
        <v>518</v>
      </c>
      <c r="Q13" s="8">
        <v>2</v>
      </c>
      <c r="R13" s="8">
        <v>1</v>
      </c>
      <c r="S13" s="4" t="s">
        <v>100</v>
      </c>
      <c r="T13" s="9">
        <v>36.365838500000002</v>
      </c>
      <c r="U13" s="9">
        <v>127.4239388</v>
      </c>
    </row>
    <row r="14" spans="1:21" ht="32.1" customHeight="1">
      <c r="A14" s="5" t="s">
        <v>36</v>
      </c>
      <c r="B14" s="5" t="s">
        <v>9</v>
      </c>
      <c r="C14" s="4" t="s">
        <v>101</v>
      </c>
      <c r="D14" s="4" t="s">
        <v>96</v>
      </c>
      <c r="E14" s="6">
        <v>63</v>
      </c>
      <c r="F14" s="4" t="s">
        <v>102</v>
      </c>
      <c r="G14" s="4" t="s">
        <v>103</v>
      </c>
      <c r="H14" s="4" t="s">
        <v>104</v>
      </c>
      <c r="I14" s="5" t="str">
        <f>HYPERLINK("https://search.naver.com/search.naver?where=blog&amp;query=%EC%84%B1%EC%B1%84%EC%88%AF%EB%B6%88%EA%B5%AC%EC%9D%B4+%EC%8B%A0%ED%83%84%EC%A7%84+%EB%8C%80%EB%8D%95%EA%B5%AC","블로그 보기")</f>
        <v>블로그 보기</v>
      </c>
      <c r="J14" s="5" t="str">
        <f>HYPERLINK("https://www.instagram.com/scbbq.sintan_official/","업체 보기")</f>
        <v>업체 보기</v>
      </c>
      <c r="K14" s="5"/>
      <c r="L14" s="4"/>
      <c r="M14" s="7">
        <v>46219</v>
      </c>
      <c r="N14" s="8">
        <v>74</v>
      </c>
      <c r="O14" s="8">
        <v>87</v>
      </c>
      <c r="P14" s="8">
        <v>358</v>
      </c>
      <c r="Q14" s="8">
        <v>4</v>
      </c>
      <c r="R14" s="8">
        <v>0</v>
      </c>
      <c r="S14" s="4" t="s">
        <v>105</v>
      </c>
      <c r="T14" s="9">
        <v>36.451136400000003</v>
      </c>
      <c r="U14" s="9">
        <v>127.4294903</v>
      </c>
    </row>
    <row r="15" spans="1:21" ht="32.1" customHeight="1">
      <c r="A15" s="5" t="s">
        <v>36</v>
      </c>
      <c r="B15" s="5" t="s">
        <v>9</v>
      </c>
      <c r="C15" s="4" t="s">
        <v>106</v>
      </c>
      <c r="D15" s="4" t="s">
        <v>96</v>
      </c>
      <c r="E15" s="6">
        <v>63</v>
      </c>
      <c r="F15" s="4" t="s">
        <v>56</v>
      </c>
      <c r="G15" s="4" t="s">
        <v>107</v>
      </c>
      <c r="H15" s="4" t="s">
        <v>108</v>
      </c>
      <c r="I15" s="5" t="str">
        <f>HYPERLINK("https://search.naver.com/search.naver?where=blog&amp;query=%EC%97%B0%ED%83%84%EA%B5%AC%EC%9D%B4+%EB%8C%80%EB%8D%95%EA%B5%AC","블로그 보기")</f>
        <v>블로그 보기</v>
      </c>
      <c r="J15" s="5"/>
      <c r="K15" s="5"/>
      <c r="L15" s="4"/>
      <c r="M15" s="7">
        <v>46220</v>
      </c>
      <c r="N15" s="8">
        <v>100</v>
      </c>
      <c r="O15" s="8">
        <v>97</v>
      </c>
      <c r="P15" s="8">
        <v>724</v>
      </c>
      <c r="Q15" s="8">
        <v>3</v>
      </c>
      <c r="R15" s="8">
        <v>1</v>
      </c>
      <c r="S15" s="4" t="s">
        <v>109</v>
      </c>
      <c r="T15" s="9">
        <v>36.351141200000001</v>
      </c>
      <c r="U15" s="9">
        <v>127.4188553</v>
      </c>
    </row>
    <row r="16" spans="1:21" ht="32.1" customHeight="1">
      <c r="A16" s="5" t="s">
        <v>36</v>
      </c>
      <c r="B16" s="5" t="s">
        <v>9</v>
      </c>
      <c r="C16" s="4" t="s">
        <v>110</v>
      </c>
      <c r="D16" s="4" t="s">
        <v>71</v>
      </c>
      <c r="E16" s="6">
        <v>63</v>
      </c>
      <c r="F16" s="4" t="s">
        <v>56</v>
      </c>
      <c r="G16" s="4" t="s">
        <v>111</v>
      </c>
      <c r="H16" s="4" t="s">
        <v>112</v>
      </c>
      <c r="I16" s="5" t="str">
        <f>HYPERLINK("https://search.naver.com/search.naver?where=blog&amp;query=%EC%9B%90%EC%A1%B0%EC%84%A4%EC%95%85%EC%B6%94%EC%96%B4%ED%83%95%EC%82%BC%EA%B3%84%ED%83%95+%EB%8C%80%EB%8D%95%EA%B5%AC","블로그 보기")</f>
        <v>블로그 보기</v>
      </c>
      <c r="J16" s="5"/>
      <c r="K16" s="5"/>
      <c r="L16" s="4"/>
      <c r="M16" s="7">
        <v>46218</v>
      </c>
      <c r="N16" s="8">
        <v>100</v>
      </c>
      <c r="O16" s="8">
        <v>98</v>
      </c>
      <c r="P16" s="8">
        <v>1144</v>
      </c>
      <c r="Q16" s="8">
        <v>2</v>
      </c>
      <c r="R16" s="8">
        <v>2</v>
      </c>
      <c r="S16" s="4" t="s">
        <v>113</v>
      </c>
      <c r="T16" s="9">
        <v>36.445228100000001</v>
      </c>
      <c r="U16" s="9">
        <v>127.4223176</v>
      </c>
    </row>
    <row r="17" spans="1:21" ht="32.1" hidden="1" customHeight="1">
      <c r="A17" s="5" t="s">
        <v>1857</v>
      </c>
      <c r="B17" s="5" t="s">
        <v>9</v>
      </c>
      <c r="C17" s="4" t="s">
        <v>114</v>
      </c>
      <c r="D17" s="4" t="s">
        <v>71</v>
      </c>
      <c r="E17" s="6">
        <v>62</v>
      </c>
      <c r="F17" s="4" t="s">
        <v>56</v>
      </c>
      <c r="G17" s="4" t="s">
        <v>115</v>
      </c>
      <c r="H17" s="4" t="s">
        <v>116</v>
      </c>
      <c r="I17" s="5" t="str">
        <f>HYPERLINK("https://search.naver.com/search.naver?where=blog&amp;query=%EC%8B%9D%EB%8B%B9%EA%B0%80+%EC%8B%A0%ED%83%84%EC%A7%84%ED%9C%B4%EA%B2%8C%EC%86%8C+%EC%84%9C%EC%9A%B8%EB%B0%A9%ED%96%A5+%EB%8C%80%EB%8D%95%EA%B5%AC","블로그 보기")</f>
        <v>블로그 보기</v>
      </c>
      <c r="J17" s="5"/>
      <c r="K17" s="5"/>
      <c r="L17" s="4"/>
      <c r="M17" s="7">
        <v>46198</v>
      </c>
      <c r="N17" s="8">
        <v>100</v>
      </c>
      <c r="O17" s="8">
        <v>91</v>
      </c>
      <c r="P17" s="8">
        <v>574</v>
      </c>
      <c r="Q17" s="8">
        <v>2</v>
      </c>
      <c r="R17" s="8">
        <v>2</v>
      </c>
      <c r="S17" s="4" t="s">
        <v>117</v>
      </c>
      <c r="T17" s="9">
        <v>36.426791000000001</v>
      </c>
      <c r="U17" s="9">
        <v>127.4185547</v>
      </c>
    </row>
    <row r="18" spans="1:21" ht="32.1" customHeight="1">
      <c r="A18" s="5" t="s">
        <v>36</v>
      </c>
      <c r="B18" s="5" t="s">
        <v>9</v>
      </c>
      <c r="C18" s="4" t="s">
        <v>118</v>
      </c>
      <c r="D18" s="4" t="s">
        <v>119</v>
      </c>
      <c r="E18" s="6">
        <v>62</v>
      </c>
      <c r="F18" s="4" t="s">
        <v>120</v>
      </c>
      <c r="G18" s="4" t="s">
        <v>121</v>
      </c>
      <c r="H18" s="4" t="s">
        <v>122</v>
      </c>
      <c r="I18" s="5" t="str">
        <f>HYPERLINK("https://search.naver.com/search.naver?where=blog&amp;query=%EC%9E%A5%EC%88%98%EC%B4%8C+%EC%A4%91%EB%A6%AC%EC%A0%90+%EB%8C%80%EB%8D%95%EA%B5%AC","블로그 보기")</f>
        <v>블로그 보기</v>
      </c>
      <c r="J18" s="5"/>
      <c r="K18" s="5"/>
      <c r="L18" s="4"/>
      <c r="M18" s="7">
        <v>46217</v>
      </c>
      <c r="N18" s="8">
        <v>58</v>
      </c>
      <c r="O18" s="8">
        <v>98</v>
      </c>
      <c r="P18" s="8">
        <v>236</v>
      </c>
      <c r="Q18" s="8">
        <v>3</v>
      </c>
      <c r="R18" s="8">
        <v>1</v>
      </c>
      <c r="S18" s="4" t="s">
        <v>123</v>
      </c>
      <c r="T18" s="9">
        <v>36.363261399999999</v>
      </c>
      <c r="U18" s="9">
        <v>127.4362941</v>
      </c>
    </row>
    <row r="19" spans="1:21" ht="32.1" customHeight="1">
      <c r="A19" s="5" t="s">
        <v>36</v>
      </c>
      <c r="B19" s="5" t="s">
        <v>9</v>
      </c>
      <c r="C19" s="4" t="s">
        <v>124</v>
      </c>
      <c r="D19" s="4" t="s">
        <v>125</v>
      </c>
      <c r="E19" s="6">
        <v>61</v>
      </c>
      <c r="F19" s="4" t="s">
        <v>126</v>
      </c>
      <c r="G19" s="4" t="s">
        <v>127</v>
      </c>
      <c r="H19" s="4" t="s">
        <v>128</v>
      </c>
      <c r="I19" s="5" t="str">
        <f>HYPERLINK("https://search.naver.com/search.naver?where=blog&amp;query=%EC%8B%A0%ED%83%84%EC%A7%AC%EB%BD%95+%EB%8C%80%EC%A0%84%EC%8B%A0%ED%83%84%EC%A7%84%EB%B3%B8%EC%A0%90+%EC%8B%A0%ED%83%84%EC%A7%84%EB%8F%99","블로그 보기")</f>
        <v>블로그 보기</v>
      </c>
      <c r="J19" s="5"/>
      <c r="K19" s="5"/>
      <c r="L19" s="4"/>
      <c r="M19" s="7">
        <v>46220</v>
      </c>
      <c r="N19" s="8">
        <v>100</v>
      </c>
      <c r="O19" s="8">
        <v>55</v>
      </c>
      <c r="P19" s="8">
        <v>391</v>
      </c>
      <c r="Q19" s="8">
        <v>1</v>
      </c>
      <c r="R19" s="8">
        <v>0</v>
      </c>
      <c r="S19" s="4" t="s">
        <v>129</v>
      </c>
      <c r="T19" s="9">
        <v>36.450883699999999</v>
      </c>
      <c r="U19" s="9">
        <v>127.42957610000001</v>
      </c>
    </row>
    <row r="20" spans="1:21" ht="32.1" customHeight="1">
      <c r="A20" s="5" t="s">
        <v>36</v>
      </c>
      <c r="B20" s="5" t="s">
        <v>9</v>
      </c>
      <c r="C20" s="4" t="s">
        <v>130</v>
      </c>
      <c r="D20" s="4" t="s">
        <v>38</v>
      </c>
      <c r="E20" s="6">
        <v>61</v>
      </c>
      <c r="F20" s="4" t="s">
        <v>131</v>
      </c>
      <c r="G20" s="4" t="s">
        <v>132</v>
      </c>
      <c r="H20" s="4" t="s">
        <v>133</v>
      </c>
      <c r="I20" s="5" t="str">
        <f>HYPERLINK("https://search.naver.com/search.naver?where=blog&amp;query=%EC%99%95%EC%8B%A4%EC%A0%84%EA%B3%A8%EC%B9%BC%EA%B5%AD%EC%88%98+%EC%84%A0%EB%B9%84%EB%A7%88%EC%9D%84%EC%A0%90+%EB%8C%80%EB%8D%95%EA%B5%AC","블로그 보기")</f>
        <v>블로그 보기</v>
      </c>
      <c r="J20" s="5"/>
      <c r="K20" s="5"/>
      <c r="L20" s="4"/>
      <c r="M20" s="7">
        <v>46220</v>
      </c>
      <c r="N20" s="8">
        <v>23</v>
      </c>
      <c r="O20" s="8">
        <v>47</v>
      </c>
      <c r="P20" s="8">
        <v>67</v>
      </c>
      <c r="Q20" s="8">
        <v>2</v>
      </c>
      <c r="R20" s="8">
        <v>1</v>
      </c>
      <c r="S20" s="4" t="s">
        <v>134</v>
      </c>
      <c r="T20" s="9">
        <v>36.3622978</v>
      </c>
      <c r="U20" s="9">
        <v>127.4388519</v>
      </c>
    </row>
    <row r="21" spans="1:21" ht="32.1" customHeight="1">
      <c r="A21" s="5" t="s">
        <v>36</v>
      </c>
      <c r="B21" s="5" t="s">
        <v>9</v>
      </c>
      <c r="C21" s="4" t="s">
        <v>135</v>
      </c>
      <c r="D21" s="4" t="s">
        <v>136</v>
      </c>
      <c r="E21" s="6">
        <v>60</v>
      </c>
      <c r="F21" s="4" t="s">
        <v>45</v>
      </c>
      <c r="G21" s="4" t="s">
        <v>137</v>
      </c>
      <c r="H21" s="4" t="s">
        <v>138</v>
      </c>
      <c r="I21" s="5" t="str">
        <f>HYPERLINK("https://search.naver.com/search.naver?where=blog&amp;query=%EC%83%A4%EB%B8%8C%EB%A7%88%EB%8B%88%EC%95%84+%EB%8C%80%EC%A0%84%EC%86%A1%EC%B4%8C%EC%A0%90+%EB%8C%80%EB%8D%95%EA%B5%AC","블로그 보기")</f>
        <v>블로그 보기</v>
      </c>
      <c r="J21" s="5" t="str">
        <f>HYPERLINK("https://www.instagram.com/1sb.mania","업체 보기")</f>
        <v>업체 보기</v>
      </c>
      <c r="K21" s="5"/>
      <c r="L21" s="4"/>
      <c r="M21" s="7">
        <v>46223</v>
      </c>
      <c r="N21" s="8">
        <v>100</v>
      </c>
      <c r="O21" s="8">
        <v>94</v>
      </c>
      <c r="P21" s="8">
        <v>492</v>
      </c>
      <c r="Q21" s="8">
        <v>1</v>
      </c>
      <c r="R21" s="8">
        <v>1</v>
      </c>
      <c r="S21" s="4" t="s">
        <v>139</v>
      </c>
      <c r="T21" s="9">
        <v>36.366554800000003</v>
      </c>
      <c r="U21" s="9">
        <v>127.4373537</v>
      </c>
    </row>
    <row r="22" spans="1:21" ht="32.1" customHeight="1">
      <c r="A22" s="5" t="s">
        <v>36</v>
      </c>
      <c r="B22" s="5" t="s">
        <v>9</v>
      </c>
      <c r="C22" s="4" t="s">
        <v>140</v>
      </c>
      <c r="D22" s="4" t="s">
        <v>141</v>
      </c>
      <c r="E22" s="6">
        <v>60</v>
      </c>
      <c r="F22" s="4" t="s">
        <v>45</v>
      </c>
      <c r="G22" s="4" t="s">
        <v>142</v>
      </c>
      <c r="H22" s="4" t="s">
        <v>143</v>
      </c>
      <c r="I22" s="5" t="str">
        <f>HYPERLINK("https://search.naver.com/search.naver?where=blog&amp;query=%EC%8A%A4%ED%85%94%EB%9D%BC%EB%96%A1%EB%B3%B6%EC%9D%B4+%EB%8C%80%EC%A0%84%EC%8B%A0%ED%83%84%EC%A7%84%EC%A0%90+%EB%8C%80%EB%8D%95%EA%B5%AC","블로그 보기")</f>
        <v>블로그 보기</v>
      </c>
      <c r="J22" s="5" t="str">
        <f>HYPERLINK("https://www.stellapick.com/","업체 보기")</f>
        <v>업체 보기</v>
      </c>
      <c r="K22" s="5"/>
      <c r="L22" s="4"/>
      <c r="M22" s="7">
        <v>46223</v>
      </c>
      <c r="N22" s="8">
        <v>100</v>
      </c>
      <c r="O22" s="8">
        <v>89</v>
      </c>
      <c r="P22" s="8">
        <v>346</v>
      </c>
      <c r="Q22" s="8">
        <v>2</v>
      </c>
      <c r="R22" s="8">
        <v>0</v>
      </c>
      <c r="S22" s="4" t="s">
        <v>144</v>
      </c>
      <c r="T22" s="9">
        <v>36.450366000000002</v>
      </c>
      <c r="U22" s="9">
        <v>127.4287573</v>
      </c>
    </row>
    <row r="23" spans="1:21" ht="32.1" customHeight="1">
      <c r="A23" s="5" t="s">
        <v>36</v>
      </c>
      <c r="B23" s="5" t="s">
        <v>9</v>
      </c>
      <c r="C23" s="4" t="s">
        <v>145</v>
      </c>
      <c r="D23" s="4" t="s">
        <v>55</v>
      </c>
      <c r="E23" s="6">
        <v>59</v>
      </c>
      <c r="F23" s="4" t="s">
        <v>56</v>
      </c>
      <c r="G23" s="4" t="s">
        <v>146</v>
      </c>
      <c r="H23" s="4" t="s">
        <v>147</v>
      </c>
      <c r="I23" s="5" t="str">
        <f>HYPERLINK("https://search.naver.com/search.naver?where=blog&amp;query=%EB%8C%80%EC%B2%AD%EA%B3%A8%EC%88%9C%EB%8C%80%EA%B5%AD%EB%B0%A5%EC%A0%84%EB%AC%B8%EC%A0%90+%EB%8C%80%EB%8D%95%EA%B5%AC","블로그 보기")</f>
        <v>블로그 보기</v>
      </c>
      <c r="J23" s="5" t="str">
        <f>HYPERLINK("https://daecheonggol.creatorlink.net/","업체 보기")</f>
        <v>업체 보기</v>
      </c>
      <c r="K23" s="5"/>
      <c r="L23" s="4"/>
      <c r="M23" s="7">
        <v>46220</v>
      </c>
      <c r="N23" s="8">
        <v>100</v>
      </c>
      <c r="O23" s="8">
        <v>91</v>
      </c>
      <c r="P23" s="8">
        <v>845</v>
      </c>
      <c r="Q23" s="8">
        <v>2</v>
      </c>
      <c r="R23" s="8">
        <v>1</v>
      </c>
      <c r="S23" s="4" t="s">
        <v>148</v>
      </c>
      <c r="T23" s="9">
        <v>36.451202199999997</v>
      </c>
      <c r="U23" s="9">
        <v>127.42973050000001</v>
      </c>
    </row>
    <row r="24" spans="1:21" ht="32.1" hidden="1" customHeight="1">
      <c r="A24" s="5" t="s">
        <v>1857</v>
      </c>
      <c r="B24" s="5" t="s">
        <v>9</v>
      </c>
      <c r="C24" s="4" t="s">
        <v>149</v>
      </c>
      <c r="D24" s="4" t="s">
        <v>150</v>
      </c>
      <c r="E24" s="6">
        <v>59</v>
      </c>
      <c r="F24" s="4" t="s">
        <v>151</v>
      </c>
      <c r="G24" s="4" t="s">
        <v>152</v>
      </c>
      <c r="H24" s="4" t="s">
        <v>153</v>
      </c>
      <c r="I24" s="5" t="str">
        <f>HYPERLINK("https://search.naver.com/search.naver?where=blog&amp;query=%EC%86%90%EC%9D%98%EC%86%90+%EC%86%A1%EC%B4%8C%EC%A0%90+%EB%8C%80%EB%8D%95%EA%B5%AC","블로그 보기")</f>
        <v>블로그 보기</v>
      </c>
      <c r="J24" s="5" t="str">
        <f>HYPERLINK("https://손의손.com","업체 보기")</f>
        <v>업체 보기</v>
      </c>
      <c r="K24" s="5"/>
      <c r="L24" s="4"/>
      <c r="M24" s="7">
        <v>46219</v>
      </c>
      <c r="N24" s="8">
        <v>57</v>
      </c>
      <c r="O24" s="8">
        <v>59</v>
      </c>
      <c r="P24" s="8">
        <v>60</v>
      </c>
      <c r="Q24" s="8">
        <v>2</v>
      </c>
      <c r="R24" s="8">
        <v>2</v>
      </c>
      <c r="S24" s="4" t="s">
        <v>154</v>
      </c>
      <c r="T24" s="9">
        <v>36.365689500000002</v>
      </c>
      <c r="U24" s="9">
        <v>127.43863469999999</v>
      </c>
    </row>
    <row r="25" spans="1:21" ht="32.1" customHeight="1">
      <c r="A25" s="5" t="s">
        <v>36</v>
      </c>
      <c r="B25" s="5" t="s">
        <v>9</v>
      </c>
      <c r="C25" s="4" t="s">
        <v>155</v>
      </c>
      <c r="D25" s="4" t="s">
        <v>141</v>
      </c>
      <c r="E25" s="6">
        <v>59</v>
      </c>
      <c r="F25" s="4" t="s">
        <v>156</v>
      </c>
      <c r="G25" s="4" t="s">
        <v>157</v>
      </c>
      <c r="H25" s="4" t="s">
        <v>158</v>
      </c>
      <c r="I25" s="5" t="str">
        <f>HYPERLINK("https://search.naver.com/search.naver?where=blog&amp;query=%EC%96%8C%EC%83%98%EA%B9%80%EB%B0%A5+%EC%8B%A0%ED%83%84%EC%A7%84%EC%A0%90+%EB%8C%80%EB%8D%95%EA%B5%AC","블로그 보기")</f>
        <v>블로그 보기</v>
      </c>
      <c r="J25" s="5" t="str">
        <f>HYPERLINK("https://www.instagram.com/yumsem_official","업체 보기")</f>
        <v>업체 보기</v>
      </c>
      <c r="K25" s="5"/>
      <c r="L25" s="4"/>
      <c r="M25" s="7">
        <v>46073</v>
      </c>
      <c r="N25" s="8">
        <v>9</v>
      </c>
      <c r="O25" s="8">
        <v>17</v>
      </c>
      <c r="P25" s="8">
        <v>21</v>
      </c>
      <c r="Q25" s="8">
        <v>3</v>
      </c>
      <c r="R25" s="8">
        <v>1</v>
      </c>
      <c r="S25" s="4" t="s">
        <v>144</v>
      </c>
      <c r="T25" s="9">
        <v>36.4491272</v>
      </c>
      <c r="U25" s="9">
        <v>127.42943169999999</v>
      </c>
    </row>
    <row r="26" spans="1:21" ht="32.1" customHeight="1">
      <c r="A26" s="5" t="s">
        <v>36</v>
      </c>
      <c r="B26" s="5" t="s">
        <v>9</v>
      </c>
      <c r="C26" s="4" t="s">
        <v>159</v>
      </c>
      <c r="D26" s="4" t="s">
        <v>38</v>
      </c>
      <c r="E26" s="6">
        <v>58</v>
      </c>
      <c r="F26" s="4" t="s">
        <v>160</v>
      </c>
      <c r="G26" s="4" t="s">
        <v>161</v>
      </c>
      <c r="H26" s="4" t="s">
        <v>162</v>
      </c>
      <c r="I26" s="5" t="str">
        <f>HYPERLINK("https://search.naver.com/search.naver?where=blog&amp;query=%EB%AA%85%EA%B0%80%EB%84%A4%EB%B3%B4%EC%8C%88%EC%B9%BC%EA%B5%AD%EC%88%98+%EB%B9%84%EB%9E%98%EB%8F%99","블로그 보기")</f>
        <v>블로그 보기</v>
      </c>
      <c r="J26" s="5"/>
      <c r="K26" s="5"/>
      <c r="L26" s="4"/>
      <c r="M26" s="7">
        <v>46109</v>
      </c>
      <c r="N26" s="8">
        <v>22</v>
      </c>
      <c r="O26" s="8">
        <v>73</v>
      </c>
      <c r="P26" s="8">
        <v>131</v>
      </c>
      <c r="Q26" s="8">
        <v>1</v>
      </c>
      <c r="R26" s="8">
        <v>1</v>
      </c>
      <c r="S26" s="4" t="s">
        <v>163</v>
      </c>
      <c r="T26" s="9">
        <v>36.356453899999998</v>
      </c>
      <c r="U26" s="9">
        <v>127.45067</v>
      </c>
    </row>
    <row r="27" spans="1:21" ht="32.1" customHeight="1">
      <c r="A27" s="5" t="s">
        <v>36</v>
      </c>
      <c r="B27" s="5" t="s">
        <v>9</v>
      </c>
      <c r="C27" s="4" t="s">
        <v>164</v>
      </c>
      <c r="D27" s="4" t="s">
        <v>125</v>
      </c>
      <c r="E27" s="6">
        <v>58</v>
      </c>
      <c r="F27" s="4" t="s">
        <v>165</v>
      </c>
      <c r="G27" s="4" t="s">
        <v>166</v>
      </c>
      <c r="H27" s="4" t="s">
        <v>167</v>
      </c>
      <c r="I27" s="5" t="str">
        <f>HYPERLINK("https://search.naver.com/search.naver?where=blog&amp;query=%EC%98%81%ED%99%94%EB%B0%98%EC%A0%90+%EC%8B%A0%ED%83%84%EC%A7%84%EB%8F%99","블로그 보기")</f>
        <v>블로그 보기</v>
      </c>
      <c r="J27" s="5"/>
      <c r="K27" s="5"/>
      <c r="L27" s="4"/>
      <c r="M27" s="7">
        <v>46145</v>
      </c>
      <c r="N27" s="8">
        <v>10</v>
      </c>
      <c r="O27" s="8">
        <v>87</v>
      </c>
      <c r="P27" s="8">
        <v>102</v>
      </c>
      <c r="Q27" s="8">
        <v>3</v>
      </c>
      <c r="R27" s="8">
        <v>0</v>
      </c>
      <c r="S27" s="4" t="s">
        <v>168</v>
      </c>
      <c r="T27" s="9">
        <v>36.449828500000002</v>
      </c>
      <c r="U27" s="9">
        <v>127.431543</v>
      </c>
    </row>
    <row r="28" spans="1:21" ht="32.1" customHeight="1">
      <c r="A28" s="5" t="s">
        <v>36</v>
      </c>
      <c r="B28" s="5" t="s">
        <v>9</v>
      </c>
      <c r="C28" s="4" t="s">
        <v>169</v>
      </c>
      <c r="D28" s="4" t="s">
        <v>170</v>
      </c>
      <c r="E28" s="6">
        <v>58</v>
      </c>
      <c r="F28" s="4" t="s">
        <v>171</v>
      </c>
      <c r="G28" s="4" t="s">
        <v>172</v>
      </c>
      <c r="H28" s="4" t="s">
        <v>173</v>
      </c>
      <c r="I28" s="5" t="str">
        <f>HYPERLINK("https://search.naver.com/search.naver?where=blog&amp;query=%EC%9C%A0%EA%B0%80%EC%98%A5+%EC%84%A4%EB%A0%81%ED%83%95+%EB%B3%B8%EC%A0%90+%EB%8C%80%EB%8D%95%EA%B5%AC","블로그 보기")</f>
        <v>블로그 보기</v>
      </c>
      <c r="J28" s="5"/>
      <c r="K28" s="5"/>
      <c r="L28" s="4"/>
      <c r="M28" s="7">
        <v>46220</v>
      </c>
      <c r="N28" s="8">
        <v>54</v>
      </c>
      <c r="O28" s="8">
        <v>75</v>
      </c>
      <c r="P28" s="8">
        <v>110</v>
      </c>
      <c r="Q28" s="8">
        <v>1</v>
      </c>
      <c r="R28" s="8">
        <v>1</v>
      </c>
      <c r="S28" s="4" t="s">
        <v>174</v>
      </c>
      <c r="T28" s="9">
        <v>36.359309099999997</v>
      </c>
      <c r="U28" s="9">
        <v>127.42748899999999</v>
      </c>
    </row>
    <row r="29" spans="1:21" ht="32.1" customHeight="1">
      <c r="A29" s="5" t="s">
        <v>36</v>
      </c>
      <c r="B29" s="5" t="s">
        <v>9</v>
      </c>
      <c r="C29" s="4" t="s">
        <v>175</v>
      </c>
      <c r="D29" s="4" t="s">
        <v>176</v>
      </c>
      <c r="E29" s="6">
        <v>58</v>
      </c>
      <c r="F29" s="4" t="s">
        <v>177</v>
      </c>
      <c r="G29" s="4" t="s">
        <v>178</v>
      </c>
      <c r="H29" s="4" t="s">
        <v>179</v>
      </c>
      <c r="I29" s="5" t="str">
        <f>HYPERLINK("https://search.naver.com/search.naver?where=blog&amp;query=%EC%A0%9C%EC%A3%BC%EC%9D%80%ED%9D%AC%EB%84%A4%ED%95%B4%EC%9E%A5%EA%B5%AD+%EB%8C%80%EC%A0%84%EC%8B%A0%ED%83%84%EC%A7%84%EC%A0%90+%EB%82%98%EB%8F%99","블로그 보기")</f>
        <v>블로그 보기</v>
      </c>
      <c r="J29" s="5"/>
      <c r="K29" s="5"/>
      <c r="L29" s="4"/>
      <c r="M29" s="7">
        <v>46220</v>
      </c>
      <c r="N29" s="8">
        <v>61</v>
      </c>
      <c r="O29" s="8">
        <v>96</v>
      </c>
      <c r="P29" s="8">
        <v>193</v>
      </c>
      <c r="Q29" s="8">
        <v>1</v>
      </c>
      <c r="R29" s="8">
        <v>1</v>
      </c>
      <c r="S29" s="4" t="s">
        <v>148</v>
      </c>
      <c r="T29" s="9">
        <v>36.423150999999997</v>
      </c>
      <c r="U29" s="9">
        <v>127.41984619999999</v>
      </c>
    </row>
    <row r="30" spans="1:21" ht="32.1" customHeight="1">
      <c r="A30" s="5" t="s">
        <v>36</v>
      </c>
      <c r="B30" s="5" t="s">
        <v>9</v>
      </c>
      <c r="C30" s="4" t="s">
        <v>180</v>
      </c>
      <c r="D30" s="4" t="s">
        <v>181</v>
      </c>
      <c r="E30" s="6">
        <v>58</v>
      </c>
      <c r="F30" s="4" t="s">
        <v>156</v>
      </c>
      <c r="G30" s="4" t="s">
        <v>182</v>
      </c>
      <c r="H30" s="4" t="s">
        <v>183</v>
      </c>
      <c r="I30" s="5" t="str">
        <f>HYPERLINK("https://search.naver.com/search.naver?where=blog&amp;query=%EC%A7%AC%EB%BD%95%EC%A7%80%EC%A1%B4+%EC%8B%A0%ED%83%84%EC%A7%84%EC%A0%90+%EB%8C%80%EB%8D%95%EA%B5%AC","블로그 보기")</f>
        <v>블로그 보기</v>
      </c>
      <c r="J30" s="5"/>
      <c r="K30" s="5"/>
      <c r="L30" s="4"/>
      <c r="M30" s="7">
        <v>46135</v>
      </c>
      <c r="N30" s="8">
        <v>9</v>
      </c>
      <c r="O30" s="8">
        <v>35</v>
      </c>
      <c r="P30" s="8">
        <v>43</v>
      </c>
      <c r="Q30" s="8">
        <v>2</v>
      </c>
      <c r="R30" s="8">
        <v>2</v>
      </c>
      <c r="S30" s="4" t="s">
        <v>184</v>
      </c>
      <c r="T30" s="9">
        <v>36.430202299999998</v>
      </c>
      <c r="U30" s="9">
        <v>127.4222194</v>
      </c>
    </row>
    <row r="31" spans="1:21" ht="32.1" customHeight="1">
      <c r="A31" s="5" t="s">
        <v>36</v>
      </c>
      <c r="B31" s="5" t="s">
        <v>9</v>
      </c>
      <c r="C31" s="4" t="s">
        <v>185</v>
      </c>
      <c r="D31" s="4" t="s">
        <v>65</v>
      </c>
      <c r="E31" s="6">
        <v>58</v>
      </c>
      <c r="F31" s="4" t="s">
        <v>56</v>
      </c>
      <c r="G31" s="4" t="s">
        <v>186</v>
      </c>
      <c r="H31" s="4" t="s">
        <v>187</v>
      </c>
      <c r="I31" s="5" t="str">
        <f>HYPERLINK("https://search.naver.com/search.naver?where=blog&amp;query=%ED%95%9C%EB%B0%AD%EC%8B%A0%ED%99%94%EC%88%98%EC%82%B0+%EB%8C%80%EB%8D%95%EA%B5%AC","블로그 보기")</f>
        <v>블로그 보기</v>
      </c>
      <c r="J31" s="5"/>
      <c r="K31" s="5"/>
      <c r="L31" s="4"/>
      <c r="M31" s="7">
        <v>46220</v>
      </c>
      <c r="N31" s="8">
        <v>100</v>
      </c>
      <c r="O31" s="8">
        <v>91</v>
      </c>
      <c r="P31" s="8">
        <v>402</v>
      </c>
      <c r="Q31" s="8">
        <v>2</v>
      </c>
      <c r="R31" s="8">
        <v>1</v>
      </c>
      <c r="S31" s="4" t="s">
        <v>188</v>
      </c>
      <c r="T31" s="9">
        <v>36.3561877</v>
      </c>
      <c r="U31" s="9">
        <v>127.4054721</v>
      </c>
    </row>
    <row r="32" spans="1:21" ht="32.1" hidden="1" customHeight="1">
      <c r="A32" s="5" t="s">
        <v>1857</v>
      </c>
      <c r="B32" s="5" t="s">
        <v>9</v>
      </c>
      <c r="C32" s="4" t="s">
        <v>189</v>
      </c>
      <c r="D32" s="4" t="s">
        <v>141</v>
      </c>
      <c r="E32" s="6">
        <v>57</v>
      </c>
      <c r="F32" s="4" t="s">
        <v>190</v>
      </c>
      <c r="G32" s="4" t="s">
        <v>191</v>
      </c>
      <c r="H32" s="4" t="s">
        <v>192</v>
      </c>
      <c r="I32" s="5" t="str">
        <f>HYPERLINK("https://search.naver.com/search.naver?where=blog&amp;query=%EA%B9%80%EB%B0%A5%EC%B2%9C%EA%B5%AD+%EB%8C%80%EB%8D%95%EA%B5%AC","블로그 보기")</f>
        <v>블로그 보기</v>
      </c>
      <c r="J32" s="5"/>
      <c r="K32" s="5"/>
      <c r="L32" s="4"/>
      <c r="M32" s="7">
        <v>46217</v>
      </c>
      <c r="N32" s="8">
        <v>16</v>
      </c>
      <c r="O32" s="8">
        <v>92</v>
      </c>
      <c r="P32" s="8">
        <v>195</v>
      </c>
      <c r="Q32" s="8">
        <v>2</v>
      </c>
      <c r="R32" s="8">
        <v>1</v>
      </c>
      <c r="S32" s="4" t="s">
        <v>193</v>
      </c>
      <c r="T32" s="9">
        <v>36.449074000000003</v>
      </c>
      <c r="U32" s="9">
        <v>127.4205347</v>
      </c>
    </row>
    <row r="33" spans="1:21" ht="32.1" customHeight="1">
      <c r="A33" s="5" t="s">
        <v>36</v>
      </c>
      <c r="B33" s="5" t="s">
        <v>9</v>
      </c>
      <c r="C33" s="4" t="s">
        <v>194</v>
      </c>
      <c r="D33" s="4" t="s">
        <v>38</v>
      </c>
      <c r="E33" s="6">
        <v>57</v>
      </c>
      <c r="F33" s="4" t="s">
        <v>195</v>
      </c>
      <c r="G33" s="4" t="s">
        <v>196</v>
      </c>
      <c r="H33" s="4" t="s">
        <v>197</v>
      </c>
      <c r="I33" s="5" t="str">
        <f>HYPERLINK("https://search.naver.com/search.naver?where=blog&amp;query=%EB%8F%99%EC%A3%BD%EC%B9%BC%EA%B5%AD%EC%88%98+%EB%8C%80%EB%8D%95%EA%B5%AC","블로그 보기")</f>
        <v>블로그 보기</v>
      </c>
      <c r="J33" s="5"/>
      <c r="K33" s="5"/>
      <c r="L33" s="4"/>
      <c r="M33" s="7">
        <v>46222</v>
      </c>
      <c r="N33" s="8">
        <v>96</v>
      </c>
      <c r="O33" s="8">
        <v>94</v>
      </c>
      <c r="P33" s="8">
        <v>464</v>
      </c>
      <c r="Q33" s="8">
        <v>1</v>
      </c>
      <c r="R33" s="8">
        <v>0</v>
      </c>
      <c r="S33" s="4" t="s">
        <v>198</v>
      </c>
      <c r="T33" s="9">
        <v>36.448213500000001</v>
      </c>
      <c r="U33" s="9">
        <v>127.4114304</v>
      </c>
    </row>
    <row r="34" spans="1:21" ht="32.1" customHeight="1">
      <c r="A34" s="5" t="s">
        <v>36</v>
      </c>
      <c r="B34" s="5" t="s">
        <v>9</v>
      </c>
      <c r="C34" s="4" t="s">
        <v>199</v>
      </c>
      <c r="D34" s="4" t="s">
        <v>141</v>
      </c>
      <c r="E34" s="6">
        <v>57</v>
      </c>
      <c r="F34" s="4" t="s">
        <v>45</v>
      </c>
      <c r="G34" s="4" t="s">
        <v>200</v>
      </c>
      <c r="H34" s="4" t="s">
        <v>201</v>
      </c>
      <c r="I34" s="5" t="str">
        <f>HYPERLINK("https://search.naver.com/search.naver?where=blog&amp;query=%EC%B2%AD%EB%85%84%EB%8B%A4%EB%B0%A9+%EB%8C%80%EC%A0%84%EC%86%A1%EC%B4%8C%EC%A0%90+%EB%8C%80%EB%8D%95%EA%B5%AC","블로그 보기")</f>
        <v>블로그 보기</v>
      </c>
      <c r="J34" s="5" t="str">
        <f>HYPERLINK("http://www.youngdabang.com/","업체 보기")</f>
        <v>업체 보기</v>
      </c>
      <c r="K34" s="5"/>
      <c r="L34" s="4"/>
      <c r="M34" s="7">
        <v>46220</v>
      </c>
      <c r="N34" s="8">
        <v>100</v>
      </c>
      <c r="O34" s="8">
        <v>95</v>
      </c>
      <c r="P34" s="8">
        <v>487</v>
      </c>
      <c r="Q34" s="8">
        <v>1</v>
      </c>
      <c r="R34" s="8">
        <v>0</v>
      </c>
      <c r="S34" s="4" t="s">
        <v>202</v>
      </c>
      <c r="T34" s="9">
        <v>36.365813000000003</v>
      </c>
      <c r="U34" s="9">
        <v>127.43668510000001</v>
      </c>
    </row>
    <row r="35" spans="1:21" ht="32.1" customHeight="1">
      <c r="A35" s="5" t="s">
        <v>36</v>
      </c>
      <c r="B35" s="5" t="s">
        <v>9</v>
      </c>
      <c r="C35" s="4" t="s">
        <v>203</v>
      </c>
      <c r="D35" s="4" t="s">
        <v>38</v>
      </c>
      <c r="E35" s="6">
        <v>57</v>
      </c>
      <c r="F35" s="4" t="s">
        <v>39</v>
      </c>
      <c r="G35" s="4" t="s">
        <v>204</v>
      </c>
      <c r="H35" s="4" t="s">
        <v>205</v>
      </c>
      <c r="I35" s="5" t="str">
        <f>HYPERLINK("https://search.naver.com/search.naver?where=blog&amp;query=%ED%99%8D%EA%B5%B4%EC%9D%B4+%EB%B6%80%EC%B6%94%EC%86%90%EC%B9%BC%EA%B5%AD%EC%88%98+%EB%8C%80%EB%8D%95%EA%B5%AC","블로그 보기")</f>
        <v>블로그 보기</v>
      </c>
      <c r="J35" s="5"/>
      <c r="K35" s="5"/>
      <c r="L35" s="4"/>
      <c r="M35" s="7">
        <v>46223</v>
      </c>
      <c r="N35" s="8">
        <v>100</v>
      </c>
      <c r="O35" s="8">
        <v>93</v>
      </c>
      <c r="P35" s="8">
        <v>560</v>
      </c>
      <c r="Q35" s="8">
        <v>1</v>
      </c>
      <c r="R35" s="8">
        <v>0</v>
      </c>
      <c r="S35" s="4" t="s">
        <v>90</v>
      </c>
      <c r="T35" s="9">
        <v>36.361877399999997</v>
      </c>
      <c r="U35" s="9">
        <v>127.4456674</v>
      </c>
    </row>
    <row r="36" spans="1:21" ht="32.1" customHeight="1">
      <c r="A36" s="5" t="s">
        <v>36</v>
      </c>
      <c r="B36" s="5" t="s">
        <v>9</v>
      </c>
      <c r="C36" s="4" t="s">
        <v>206</v>
      </c>
      <c r="D36" s="4" t="s">
        <v>38</v>
      </c>
      <c r="E36" s="6">
        <v>57</v>
      </c>
      <c r="F36" s="4" t="s">
        <v>39</v>
      </c>
      <c r="G36" s="4" t="s">
        <v>207</v>
      </c>
      <c r="H36" s="4" t="s">
        <v>208</v>
      </c>
      <c r="I36" s="5" t="str">
        <f>HYPERLINK("https://search.naver.com/search.naver?where=blog&amp;query=%ED%99%A9%EA%B8%88%EC%B9%BC%EA%B5%AD%EC%88%98+%EB%8C%80%EB%8D%95%EA%B5%AC","블로그 보기")</f>
        <v>블로그 보기</v>
      </c>
      <c r="J36" s="5" t="str">
        <f>HYPERLINK("https://www.instagram.com/hwang_geum_kalgugsu","업체 보기")</f>
        <v>업체 보기</v>
      </c>
      <c r="K36" s="5"/>
      <c r="L36" s="4"/>
      <c r="M36" s="7">
        <v>46222</v>
      </c>
      <c r="N36" s="8">
        <v>100</v>
      </c>
      <c r="O36" s="8">
        <v>86</v>
      </c>
      <c r="P36" s="8">
        <v>601</v>
      </c>
      <c r="Q36" s="8">
        <v>1</v>
      </c>
      <c r="R36" s="8">
        <v>0</v>
      </c>
      <c r="S36" s="4" t="s">
        <v>134</v>
      </c>
      <c r="T36" s="9">
        <v>36.374945099999998</v>
      </c>
      <c r="U36" s="9">
        <v>127.4200318</v>
      </c>
    </row>
    <row r="37" spans="1:21" ht="32.1" customHeight="1">
      <c r="A37" s="5" t="s">
        <v>36</v>
      </c>
      <c r="B37" s="5" t="s">
        <v>9</v>
      </c>
      <c r="C37" s="4" t="s">
        <v>209</v>
      </c>
      <c r="D37" s="4" t="s">
        <v>210</v>
      </c>
      <c r="E37" s="6">
        <v>56</v>
      </c>
      <c r="F37" s="4" t="s">
        <v>45</v>
      </c>
      <c r="G37" s="4" t="s">
        <v>211</v>
      </c>
      <c r="H37" s="4" t="s">
        <v>212</v>
      </c>
      <c r="I37" s="5" t="str">
        <f>HYPERLINK("https://search.naver.com/search.naver?where=blog&amp;query=%EC%9D%BC%ED%92%88%EB%8F%BC%EC%A7%80%EA%B5%AD%EB%B0%A5+%EB%8C%80%EC%A0%84IC%EC%A0%90+%EB%8C%80%EB%8D%95%EA%B5%AC","블로그 보기")</f>
        <v>블로그 보기</v>
      </c>
      <c r="J37" s="5"/>
      <c r="K37" s="5"/>
      <c r="L37" s="4"/>
      <c r="M37" s="7">
        <v>46220</v>
      </c>
      <c r="N37" s="8">
        <v>100</v>
      </c>
      <c r="O37" s="8">
        <v>80</v>
      </c>
      <c r="P37" s="8">
        <v>284</v>
      </c>
      <c r="Q37" s="8">
        <v>1</v>
      </c>
      <c r="R37" s="8">
        <v>0</v>
      </c>
      <c r="S37" s="4" t="s">
        <v>213</v>
      </c>
      <c r="T37" s="9">
        <v>36.353487700000002</v>
      </c>
      <c r="U37" s="9">
        <v>127.4439993</v>
      </c>
    </row>
    <row r="38" spans="1:21" ht="32.1" customHeight="1">
      <c r="A38" s="5" t="s">
        <v>36</v>
      </c>
      <c r="B38" s="5" t="s">
        <v>9</v>
      </c>
      <c r="C38" s="4" t="s">
        <v>214</v>
      </c>
      <c r="D38" s="4" t="s">
        <v>215</v>
      </c>
      <c r="E38" s="6">
        <v>56</v>
      </c>
      <c r="F38" s="4" t="s">
        <v>56</v>
      </c>
      <c r="G38" s="4" t="s">
        <v>216</v>
      </c>
      <c r="H38" s="4" t="s">
        <v>217</v>
      </c>
      <c r="I38" s="5" t="str">
        <f>HYPERLINK("https://search.naver.com/search.naver?where=blog&amp;query=%ED%8F%AC%EB%8C%80%ED%8F%AC%EC%86%8C%EA%B3%B1%EC%B0%BD%EA%B5%AC%EC%9D%B4+%EB%8C%80%EB%8D%95%EA%B5%AC","블로그 보기")</f>
        <v>블로그 보기</v>
      </c>
      <c r="J38" s="5"/>
      <c r="K38" s="5"/>
      <c r="L38" s="4"/>
      <c r="M38" s="7">
        <v>46222</v>
      </c>
      <c r="N38" s="8">
        <v>100</v>
      </c>
      <c r="O38" s="8">
        <v>92</v>
      </c>
      <c r="P38" s="8">
        <v>1303</v>
      </c>
      <c r="Q38" s="8">
        <v>1</v>
      </c>
      <c r="R38" s="8">
        <v>1</v>
      </c>
      <c r="S38" s="4" t="s">
        <v>218</v>
      </c>
      <c r="T38" s="9">
        <v>36.3628182</v>
      </c>
      <c r="U38" s="9">
        <v>127.44711909999999</v>
      </c>
    </row>
    <row r="39" spans="1:21" ht="32.1" customHeight="1">
      <c r="A39" s="5" t="s">
        <v>36</v>
      </c>
      <c r="B39" s="5" t="s">
        <v>9</v>
      </c>
      <c r="C39" s="4" t="s">
        <v>219</v>
      </c>
      <c r="D39" s="4" t="s">
        <v>220</v>
      </c>
      <c r="E39" s="6">
        <v>55</v>
      </c>
      <c r="F39" s="4" t="s">
        <v>221</v>
      </c>
      <c r="G39" s="4" t="s">
        <v>222</v>
      </c>
      <c r="H39" s="4" t="s">
        <v>223</v>
      </c>
      <c r="I39" s="5" t="str">
        <f>HYPERLINK("https://search.naver.com/search.naver?where=blog&amp;query=%EB%AF%B8%EC%B9%B4%EB%8F%84%EC%8A%A4%EC%8B%9C+%EB%8C%80%EC%A0%84%EC%8B%A0%ED%83%84%EC%A7%84%EC%A0%90+%EB%8C%80%EB%8D%95%EA%B5%AC","블로그 보기")</f>
        <v>블로그 보기</v>
      </c>
      <c r="J39" s="5" t="str">
        <f>HYPERLINK("http://mikadosushi.co.kr/","업체 보기")</f>
        <v>업체 보기</v>
      </c>
      <c r="K39" s="5"/>
      <c r="L39" s="4"/>
      <c r="M39" s="7">
        <v>46220</v>
      </c>
      <c r="N39" s="8">
        <v>65</v>
      </c>
      <c r="O39" s="8">
        <v>43</v>
      </c>
      <c r="P39" s="8">
        <v>116</v>
      </c>
      <c r="Q39" s="8">
        <v>1</v>
      </c>
      <c r="R39" s="8">
        <v>0</v>
      </c>
      <c r="S39" s="4" t="s">
        <v>224</v>
      </c>
      <c r="T39" s="9">
        <v>36.4513058</v>
      </c>
      <c r="U39" s="9">
        <v>127.43014650000001</v>
      </c>
    </row>
    <row r="40" spans="1:21" ht="32.1" customHeight="1">
      <c r="A40" s="5" t="s">
        <v>36</v>
      </c>
      <c r="B40" s="5" t="s">
        <v>9</v>
      </c>
      <c r="C40" s="4" t="s">
        <v>225</v>
      </c>
      <c r="D40" s="4" t="s">
        <v>226</v>
      </c>
      <c r="E40" s="6">
        <v>55</v>
      </c>
      <c r="F40" s="4" t="s">
        <v>56</v>
      </c>
      <c r="G40" s="4" t="s">
        <v>227</v>
      </c>
      <c r="H40" s="4" t="s">
        <v>228</v>
      </c>
      <c r="I40" s="5" t="str">
        <f>HYPERLINK("https://search.naver.com/search.naver?where=blog&amp;query=%EC%83%81%ED%95%98%EC%9D%B4%EC%96%91%EA%BC%AC%EC%B9%98+%EB%8C%80%EB%8D%95%EA%B5%AC","블로그 보기")</f>
        <v>블로그 보기</v>
      </c>
      <c r="J40" s="5"/>
      <c r="K40" s="5"/>
      <c r="L40" s="4"/>
      <c r="M40" s="7">
        <v>46171</v>
      </c>
      <c r="N40" s="8">
        <v>100</v>
      </c>
      <c r="O40" s="8">
        <v>92</v>
      </c>
      <c r="P40" s="8">
        <v>568</v>
      </c>
      <c r="Q40" s="8">
        <v>1</v>
      </c>
      <c r="R40" s="8">
        <v>1</v>
      </c>
      <c r="S40" s="4" t="s">
        <v>229</v>
      </c>
      <c r="T40" s="9">
        <v>36.364657299999998</v>
      </c>
      <c r="U40" s="9">
        <v>127.4387897</v>
      </c>
    </row>
    <row r="41" spans="1:21" ht="32.1" customHeight="1">
      <c r="A41" s="5" t="s">
        <v>36</v>
      </c>
      <c r="B41" s="5" t="s">
        <v>9</v>
      </c>
      <c r="C41" s="4" t="s">
        <v>230</v>
      </c>
      <c r="D41" s="4" t="s">
        <v>231</v>
      </c>
      <c r="E41" s="6">
        <v>55</v>
      </c>
      <c r="F41" s="4" t="s">
        <v>56</v>
      </c>
      <c r="G41" s="4" t="s">
        <v>232</v>
      </c>
      <c r="H41" s="4" t="s">
        <v>233</v>
      </c>
      <c r="I41" s="5" t="str">
        <f>HYPERLINK("https://search.naver.com/search.naver?where=blog&amp;query=%EC%84%A0%EC%96%91%EA%B0%88%EB%B9%84+%EB%8C%80%EB%8D%95%EA%B5%AC","블로그 보기")</f>
        <v>블로그 보기</v>
      </c>
      <c r="J41" s="5" t="str">
        <f>HYPERLINK("https://www.instagram.com/sunyangpork","업체 보기")</f>
        <v>업체 보기</v>
      </c>
      <c r="K41" s="5"/>
      <c r="L41" s="4"/>
      <c r="M41" s="7">
        <v>46220</v>
      </c>
      <c r="N41" s="8">
        <v>100</v>
      </c>
      <c r="O41" s="8">
        <v>97</v>
      </c>
      <c r="P41" s="8">
        <v>244</v>
      </c>
      <c r="Q41" s="8">
        <v>2</v>
      </c>
      <c r="R41" s="8">
        <v>0</v>
      </c>
      <c r="S41" s="4" t="s">
        <v>234</v>
      </c>
      <c r="T41" s="9">
        <v>36.363840000000003</v>
      </c>
      <c r="U41" s="9">
        <v>127.4389688</v>
      </c>
    </row>
    <row r="42" spans="1:21" ht="32.1" customHeight="1">
      <c r="A42" s="5" t="s">
        <v>36</v>
      </c>
      <c r="B42" s="5" t="s">
        <v>9</v>
      </c>
      <c r="C42" s="4" t="s">
        <v>235</v>
      </c>
      <c r="D42" s="4" t="s">
        <v>176</v>
      </c>
      <c r="E42" s="6">
        <v>55</v>
      </c>
      <c r="F42" s="4" t="s">
        <v>236</v>
      </c>
      <c r="G42" s="4" t="s">
        <v>237</v>
      </c>
      <c r="H42" s="4" t="s">
        <v>238</v>
      </c>
      <c r="I42" s="5" t="str">
        <f>HYPERLINK("https://search.naver.com/search.naver?where=blog&amp;query=%ED%8A%B9%EB%B2%BC%EB%A6%AC%EA%B0%81%EB%B2%BC%EB%A6%AC+%EC%96%91%ED%8F%89%ED%95%B4%EC%9E%A5%EA%B5%AD+%EC%8B%A0%ED%83%84%EC%A7%84%EB%8F%99","블로그 보기")</f>
        <v>블로그 보기</v>
      </c>
      <c r="J42" s="5"/>
      <c r="K42" s="5"/>
      <c r="L42" s="4"/>
      <c r="M42" s="7">
        <v>46108</v>
      </c>
      <c r="N42" s="8">
        <v>27</v>
      </c>
      <c r="O42" s="8">
        <v>32</v>
      </c>
      <c r="P42" s="8">
        <v>37</v>
      </c>
      <c r="Q42" s="8">
        <v>2</v>
      </c>
      <c r="R42" s="8">
        <v>1</v>
      </c>
      <c r="S42" s="4" t="s">
        <v>239</v>
      </c>
      <c r="T42" s="9">
        <v>36.447681500000002</v>
      </c>
      <c r="U42" s="9">
        <v>127.4321837</v>
      </c>
    </row>
    <row r="43" spans="1:21" ht="32.1" customHeight="1">
      <c r="A43" s="5" t="s">
        <v>36</v>
      </c>
      <c r="B43" s="5" t="s">
        <v>9</v>
      </c>
      <c r="C43" s="4" t="s">
        <v>240</v>
      </c>
      <c r="D43" s="4" t="s">
        <v>119</v>
      </c>
      <c r="E43" s="6">
        <v>54</v>
      </c>
      <c r="F43" s="4" t="s">
        <v>56</v>
      </c>
      <c r="G43" s="4" t="s">
        <v>241</v>
      </c>
      <c r="H43" s="4" t="s">
        <v>242</v>
      </c>
      <c r="I43" s="5" t="str">
        <f>HYPERLINK("https://search.naver.com/search.naver?where=blog&amp;query=%EB%8D%94%EA%B5%AC+%EB%8C%80%EB%8D%95%EA%B5%AC","블로그 보기")</f>
        <v>블로그 보기</v>
      </c>
      <c r="J43" s="5"/>
      <c r="K43" s="5"/>
      <c r="L43" s="4"/>
      <c r="M43" s="7">
        <v>46223</v>
      </c>
      <c r="N43" s="8">
        <v>100</v>
      </c>
      <c r="O43" s="8">
        <v>81</v>
      </c>
      <c r="P43" s="8">
        <v>74869</v>
      </c>
      <c r="Q43" s="8">
        <v>1</v>
      </c>
      <c r="R43" s="8">
        <v>0</v>
      </c>
      <c r="S43" s="4" t="s">
        <v>239</v>
      </c>
      <c r="T43" s="9">
        <v>36.442721200000001</v>
      </c>
      <c r="U43" s="9">
        <v>127.4117681</v>
      </c>
    </row>
    <row r="44" spans="1:21" ht="32.1" customHeight="1">
      <c r="A44" s="5" t="s">
        <v>36</v>
      </c>
      <c r="B44" s="5" t="s">
        <v>9</v>
      </c>
      <c r="C44" s="4" t="s">
        <v>243</v>
      </c>
      <c r="D44" s="4" t="s">
        <v>38</v>
      </c>
      <c r="E44" s="6">
        <v>54</v>
      </c>
      <c r="F44" s="4" t="s">
        <v>244</v>
      </c>
      <c r="G44" s="4" t="s">
        <v>245</v>
      </c>
      <c r="H44" s="4" t="s">
        <v>246</v>
      </c>
      <c r="I44" s="5" t="str">
        <f>HYPERLINK("https://search.naver.com/search.naver?where=blog&amp;query=%EB%A7%9D%EA%B3%A8%EA%B3%A0%EA%B0%9C%EC%8B%9D%EB%8B%B9+%EB%8C%80%EB%8D%95%EA%B5%AC","블로그 보기")</f>
        <v>블로그 보기</v>
      </c>
      <c r="J44" s="5"/>
      <c r="K44" s="5"/>
      <c r="L44" s="4"/>
      <c r="M44" s="7">
        <v>46193</v>
      </c>
      <c r="N44" s="8">
        <v>8</v>
      </c>
      <c r="O44" s="8">
        <v>64</v>
      </c>
      <c r="P44" s="8">
        <v>85</v>
      </c>
      <c r="Q44" s="8">
        <v>1</v>
      </c>
      <c r="R44" s="8">
        <v>0</v>
      </c>
      <c r="S44" s="4" t="s">
        <v>198</v>
      </c>
      <c r="T44" s="9">
        <v>36.448819100000001</v>
      </c>
      <c r="U44" s="9">
        <v>127.4212756</v>
      </c>
    </row>
    <row r="45" spans="1:21" ht="32.1" customHeight="1">
      <c r="A45" s="5" t="s">
        <v>36</v>
      </c>
      <c r="B45" s="5" t="s">
        <v>9</v>
      </c>
      <c r="C45" s="4" t="s">
        <v>247</v>
      </c>
      <c r="D45" s="4" t="s">
        <v>248</v>
      </c>
      <c r="E45" s="6">
        <v>54</v>
      </c>
      <c r="F45" s="4" t="s">
        <v>249</v>
      </c>
      <c r="G45" s="4" t="s">
        <v>250</v>
      </c>
      <c r="H45" s="4" t="s">
        <v>251</v>
      </c>
      <c r="I45" s="5" t="str">
        <f>HYPERLINK("https://search.naver.com/search.naver?where=blog&amp;query=%EC%84%9D%EB%B4%89%ED%8A%80%EA%B9%80+%EB%96%A1%EB%B3%B6%EC%9D%B4+%EC%8B%A0%ED%83%84%EC%A7%84%EC%A0%90+%EB%8C%80%EB%8D%95%EA%B5%AC","블로그 보기")</f>
        <v>블로그 보기</v>
      </c>
      <c r="J45" s="5" t="str">
        <f>HYPERLINK("https://blog.naver.com/kichanbok","업체 보기")</f>
        <v>업체 보기</v>
      </c>
      <c r="K45" s="5"/>
      <c r="L45" s="4"/>
      <c r="M45" s="7">
        <v>46223</v>
      </c>
      <c r="N45" s="8">
        <v>71</v>
      </c>
      <c r="O45" s="8">
        <v>80</v>
      </c>
      <c r="P45" s="8">
        <v>211</v>
      </c>
      <c r="Q45" s="8">
        <v>2</v>
      </c>
      <c r="R45" s="8">
        <v>0</v>
      </c>
      <c r="S45" s="4" t="s">
        <v>144</v>
      </c>
      <c r="T45" s="9">
        <v>36.448174700000003</v>
      </c>
      <c r="U45" s="9">
        <v>127.4260431</v>
      </c>
    </row>
    <row r="46" spans="1:21" ht="32.1" customHeight="1">
      <c r="A46" s="5" t="s">
        <v>36</v>
      </c>
      <c r="B46" s="5" t="s">
        <v>9</v>
      </c>
      <c r="C46" s="4" t="s">
        <v>252</v>
      </c>
      <c r="D46" s="4" t="s">
        <v>44</v>
      </c>
      <c r="E46" s="6">
        <v>54</v>
      </c>
      <c r="F46" s="4" t="s">
        <v>253</v>
      </c>
      <c r="G46" s="4" t="s">
        <v>254</v>
      </c>
      <c r="H46" s="4" t="s">
        <v>255</v>
      </c>
      <c r="I46" s="5" t="str">
        <f>HYPERLINK("https://search.naver.com/search.naver?where=blog&amp;query=%EC%8B%A0%ED%83%84%EB%A9%B4%EC%98%A5+%EB%8C%80%EB%8D%95%EA%B5%AC","블로그 보기")</f>
        <v>블로그 보기</v>
      </c>
      <c r="J46" s="5" t="str">
        <f>HYPERLINK("https://sintanmyounog.creatorlink.net/","업체 보기")</f>
        <v>업체 보기</v>
      </c>
      <c r="K46" s="5"/>
      <c r="L46" s="4"/>
      <c r="M46" s="7">
        <v>46220</v>
      </c>
      <c r="N46" s="8">
        <v>89</v>
      </c>
      <c r="O46" s="8">
        <v>69</v>
      </c>
      <c r="P46" s="8">
        <v>193</v>
      </c>
      <c r="Q46" s="8">
        <v>2</v>
      </c>
      <c r="R46" s="8">
        <v>0</v>
      </c>
      <c r="S46" s="4" t="s">
        <v>256</v>
      </c>
      <c r="T46" s="9">
        <v>36.4396524</v>
      </c>
      <c r="U46" s="9">
        <v>127.42668949999999</v>
      </c>
    </row>
    <row r="47" spans="1:21" ht="32.1" customHeight="1">
      <c r="A47" s="5" t="s">
        <v>36</v>
      </c>
      <c r="B47" s="5" t="s">
        <v>9</v>
      </c>
      <c r="C47" s="4" t="s">
        <v>257</v>
      </c>
      <c r="D47" s="4" t="s">
        <v>258</v>
      </c>
      <c r="E47" s="6">
        <v>54</v>
      </c>
      <c r="F47" s="4" t="s">
        <v>259</v>
      </c>
      <c r="G47" s="4" t="s">
        <v>260</v>
      </c>
      <c r="H47" s="4" t="s">
        <v>261</v>
      </c>
      <c r="I47" s="5" t="str">
        <f>HYPERLINK("https://search.naver.com/search.naver?where=blog&amp;query=%EC%99%84%EB%AF%B8%EC%A1%B1%EB%B0%9C+%EC%86%A1%EC%B4%8C%EC%A0%90+%EB%8C%80%EB%8D%95%EA%B5%AC","블로그 보기")</f>
        <v>블로그 보기</v>
      </c>
      <c r="J47" s="5" t="str">
        <f>HYPERLINK("https://www.완미족발.kr/","업체 보기")</f>
        <v>업체 보기</v>
      </c>
      <c r="K47" s="5"/>
      <c r="L47" s="4"/>
      <c r="M47" s="7">
        <v>46207</v>
      </c>
      <c r="N47" s="8">
        <v>17</v>
      </c>
      <c r="O47" s="8">
        <v>96</v>
      </c>
      <c r="P47" s="8">
        <v>221</v>
      </c>
      <c r="Q47" s="8">
        <v>1</v>
      </c>
      <c r="R47" s="8">
        <v>1</v>
      </c>
      <c r="S47" s="4" t="s">
        <v>218</v>
      </c>
      <c r="T47" s="9">
        <v>36.3647165</v>
      </c>
      <c r="U47" s="9">
        <v>127.43854279999999</v>
      </c>
    </row>
    <row r="48" spans="1:21" ht="32.1" customHeight="1">
      <c r="A48" s="5" t="s">
        <v>36</v>
      </c>
      <c r="B48" s="5" t="s">
        <v>9</v>
      </c>
      <c r="C48" s="4" t="s">
        <v>262</v>
      </c>
      <c r="D48" s="4" t="s">
        <v>215</v>
      </c>
      <c r="E48" s="6">
        <v>54</v>
      </c>
      <c r="F48" s="4" t="s">
        <v>263</v>
      </c>
      <c r="G48" s="4" t="s">
        <v>264</v>
      </c>
      <c r="H48" s="4" t="s">
        <v>265</v>
      </c>
      <c r="I48" s="5" t="str">
        <f>HYPERLINK("https://search.naver.com/search.naver?where=blog&amp;query=%EC%99%95%EC%86%90%EA%B3%B1%EC%B0%BD+%EB%8C%80%EB%8D%95%EA%B5%AC","블로그 보기")</f>
        <v>블로그 보기</v>
      </c>
      <c r="J48" s="5"/>
      <c r="K48" s="5"/>
      <c r="L48" s="4"/>
      <c r="M48" s="7">
        <v>46222</v>
      </c>
      <c r="N48" s="8">
        <v>70</v>
      </c>
      <c r="O48" s="8">
        <v>99</v>
      </c>
      <c r="P48" s="8">
        <v>439</v>
      </c>
      <c r="Q48" s="8">
        <v>1</v>
      </c>
      <c r="R48" s="8">
        <v>1</v>
      </c>
      <c r="S48" s="4" t="s">
        <v>213</v>
      </c>
      <c r="T48" s="9">
        <v>36.367286100000001</v>
      </c>
      <c r="U48" s="9">
        <v>127.4120853</v>
      </c>
    </row>
    <row r="49" spans="1:21" ht="32.1" customHeight="1">
      <c r="A49" s="5" t="s">
        <v>36</v>
      </c>
      <c r="B49" s="5" t="s">
        <v>9</v>
      </c>
      <c r="C49" s="4" t="s">
        <v>266</v>
      </c>
      <c r="D49" s="4" t="s">
        <v>125</v>
      </c>
      <c r="E49" s="6">
        <v>54</v>
      </c>
      <c r="F49" s="4" t="s">
        <v>267</v>
      </c>
      <c r="G49" s="4" t="s">
        <v>268</v>
      </c>
      <c r="H49" s="4" t="s">
        <v>269</v>
      </c>
      <c r="I49" s="5" t="str">
        <f>HYPERLINK("https://search.naver.com/search.naver?where=blog&amp;query=%EC%9D%B4%EC%A2%85%EA%B5%AC%ED%95%AD%EC%95%84%EB%A6%AC%EC%A7%AC%EB%BD%95+%EC%98%A4%EC%A0%95%EC%A0%90+%EB%8C%80%EB%8D%95%EA%B5%AC","블로그 보기")</f>
        <v>블로그 보기</v>
      </c>
      <c r="J49" s="5" t="str">
        <f>HYPERLINK("http://www.instagram.com/jjambbong777","업체 보기")</f>
        <v>업체 보기</v>
      </c>
      <c r="K49" s="5"/>
      <c r="L49" s="4"/>
      <c r="M49" s="7">
        <v>46210</v>
      </c>
      <c r="N49" s="8">
        <v>35</v>
      </c>
      <c r="O49" s="8">
        <v>99</v>
      </c>
      <c r="P49" s="8">
        <v>226</v>
      </c>
      <c r="Q49" s="8">
        <v>1</v>
      </c>
      <c r="R49" s="8">
        <v>1</v>
      </c>
      <c r="S49" s="4" t="s">
        <v>229</v>
      </c>
      <c r="T49" s="9">
        <v>36.357645900000001</v>
      </c>
      <c r="U49" s="9">
        <v>127.4107302</v>
      </c>
    </row>
    <row r="50" spans="1:21" ht="32.1" hidden="1" customHeight="1">
      <c r="A50" s="5" t="s">
        <v>1857</v>
      </c>
      <c r="B50" s="5" t="s">
        <v>9</v>
      </c>
      <c r="C50" s="4" t="s">
        <v>270</v>
      </c>
      <c r="D50" s="4" t="s">
        <v>271</v>
      </c>
      <c r="E50" s="6">
        <v>54</v>
      </c>
      <c r="F50" s="4" t="s">
        <v>56</v>
      </c>
      <c r="G50" s="4" t="s">
        <v>272</v>
      </c>
      <c r="H50" s="4" t="s">
        <v>273</v>
      </c>
      <c r="I50" s="5" t="str">
        <f>HYPERLINK("https://search.naver.com/search.naver?where=blog&amp;query=%EC%A4%91%EB%B6%80%ED%9A%8C%EC%88%98%EC%82%B0+%EB%8C%80%EB%8D%95%EA%B5%AC","블로그 보기")</f>
        <v>블로그 보기</v>
      </c>
      <c r="J50" s="5"/>
      <c r="K50" s="5"/>
      <c r="L50" s="4"/>
      <c r="M50" s="7">
        <v>46222</v>
      </c>
      <c r="N50" s="8">
        <v>100</v>
      </c>
      <c r="O50" s="8">
        <v>96</v>
      </c>
      <c r="P50" s="8">
        <v>454</v>
      </c>
      <c r="Q50" s="8">
        <v>1</v>
      </c>
      <c r="R50" s="8">
        <v>1</v>
      </c>
      <c r="S50" s="4" t="s">
        <v>188</v>
      </c>
      <c r="T50" s="9">
        <v>36.360219999999998</v>
      </c>
      <c r="U50" s="9">
        <v>127.4322781</v>
      </c>
    </row>
    <row r="51" spans="1:21" ht="32.1" customHeight="1">
      <c r="A51" s="5" t="s">
        <v>36</v>
      </c>
      <c r="B51" s="5" t="s">
        <v>9</v>
      </c>
      <c r="C51" s="4" t="s">
        <v>274</v>
      </c>
      <c r="D51" s="4" t="s">
        <v>44</v>
      </c>
      <c r="E51" s="6">
        <v>54</v>
      </c>
      <c r="F51" s="4" t="s">
        <v>275</v>
      </c>
      <c r="G51" s="4" t="s">
        <v>276</v>
      </c>
      <c r="H51" s="4" t="s">
        <v>277</v>
      </c>
      <c r="I51" s="5" t="str">
        <f>HYPERLINK("https://search.naver.com/search.naver?where=blog&amp;query=%EC%B2%AD%EA%B8%B0%EC%99%80%EB%83%89%EB%A9%B4+%EB%B3%B8%EC%A0%90+%EB%8C%80%EB%8D%95%EA%B5%AC","블로그 보기")</f>
        <v>블로그 보기</v>
      </c>
      <c r="J51" s="5"/>
      <c r="K51" s="5"/>
      <c r="L51" s="4"/>
      <c r="M51" s="7">
        <v>46213</v>
      </c>
      <c r="N51" s="8">
        <v>25</v>
      </c>
      <c r="O51" s="8">
        <v>42</v>
      </c>
      <c r="P51" s="8">
        <v>90</v>
      </c>
      <c r="Q51" s="8">
        <v>1</v>
      </c>
      <c r="R51" s="8">
        <v>0</v>
      </c>
      <c r="S51" s="4" t="s">
        <v>278</v>
      </c>
      <c r="T51" s="9">
        <v>36.429909500000001</v>
      </c>
      <c r="U51" s="9">
        <v>127.421431</v>
      </c>
    </row>
    <row r="52" spans="1:21" ht="32.1" customHeight="1">
      <c r="A52" s="5" t="s">
        <v>36</v>
      </c>
      <c r="B52" s="5" t="s">
        <v>9</v>
      </c>
      <c r="C52" s="4" t="s">
        <v>279</v>
      </c>
      <c r="D52" s="4" t="s">
        <v>280</v>
      </c>
      <c r="E52" s="6">
        <v>54</v>
      </c>
      <c r="F52" s="4" t="s">
        <v>281</v>
      </c>
      <c r="G52" s="4" t="s">
        <v>282</v>
      </c>
      <c r="H52" s="4" t="s">
        <v>283</v>
      </c>
      <c r="I52" s="5" t="str">
        <f>HYPERLINK("https://search.naver.com/search.naver?where=blog&amp;query=%ED%95%B4%EB%AC%BC%EA%B0%80+%EB%8C%80%EB%8D%95%EA%B5%AC","블로그 보기")</f>
        <v>블로그 보기</v>
      </c>
      <c r="J52" s="5"/>
      <c r="K52" s="5"/>
      <c r="L52" s="4"/>
      <c r="M52" s="7">
        <v>46219</v>
      </c>
      <c r="N52" s="8">
        <v>44</v>
      </c>
      <c r="O52" s="8">
        <v>95</v>
      </c>
      <c r="P52" s="8">
        <v>110</v>
      </c>
      <c r="Q52" s="8">
        <v>2</v>
      </c>
      <c r="R52" s="8">
        <v>0</v>
      </c>
      <c r="S52" s="4" t="s">
        <v>284</v>
      </c>
      <c r="T52" s="9">
        <v>36.447870100000003</v>
      </c>
      <c r="U52" s="9">
        <v>127.4120515</v>
      </c>
    </row>
    <row r="53" spans="1:21" ht="32.1" customHeight="1">
      <c r="A53" s="5" t="s">
        <v>36</v>
      </c>
      <c r="B53" s="5" t="s">
        <v>9</v>
      </c>
      <c r="C53" s="4" t="s">
        <v>285</v>
      </c>
      <c r="D53" s="4" t="s">
        <v>65</v>
      </c>
      <c r="E53" s="6">
        <v>53</v>
      </c>
      <c r="F53" s="4" t="s">
        <v>56</v>
      </c>
      <c r="G53" s="4" t="s">
        <v>286</v>
      </c>
      <c r="H53" s="4" t="s">
        <v>287</v>
      </c>
      <c r="I53" s="5" t="str">
        <f>HYPERLINK("https://search.naver.com/search.naver?where=blog&amp;query=%EB%8B%A4%ED%95%B4%ED%99%9C%EC%96%B4%EC%8B%9C%EC%9E%A5%EC%8B%9D%EB%8B%B9+%EC%84%9D%EB%B4%89%EB%8F%99","블로그 보기")</f>
        <v>블로그 보기</v>
      </c>
      <c r="J53" s="5"/>
      <c r="K53" s="5"/>
      <c r="L53" s="4"/>
      <c r="M53" s="7">
        <v>46220</v>
      </c>
      <c r="N53" s="8">
        <v>100</v>
      </c>
      <c r="O53" s="8">
        <v>86</v>
      </c>
      <c r="P53" s="8">
        <v>1111</v>
      </c>
      <c r="Q53" s="8">
        <v>1</v>
      </c>
      <c r="R53" s="8">
        <v>0</v>
      </c>
      <c r="S53" s="4" t="s">
        <v>288</v>
      </c>
      <c r="T53" s="9">
        <v>36.444011199999998</v>
      </c>
      <c r="U53" s="9">
        <v>127.42676640000001</v>
      </c>
    </row>
    <row r="54" spans="1:21" ht="32.1" customHeight="1">
      <c r="A54" s="5" t="s">
        <v>36</v>
      </c>
      <c r="B54" s="5" t="s">
        <v>9</v>
      </c>
      <c r="C54" s="4" t="s">
        <v>289</v>
      </c>
      <c r="D54" s="4" t="s">
        <v>248</v>
      </c>
      <c r="E54" s="6">
        <v>53</v>
      </c>
      <c r="F54" s="4" t="s">
        <v>290</v>
      </c>
      <c r="G54" s="4" t="s">
        <v>291</v>
      </c>
      <c r="H54" s="4" t="s">
        <v>292</v>
      </c>
      <c r="I54" s="5" t="str">
        <f>HYPERLINK("https://search.naver.com/search.naver?where=blog&amp;query=%EB%B6%88%ED%8B%B0%EB%82%98%EB%A7%8C%EB%91%90%EC%B0%90%EB%B9%B5+%EB%8C%80%EB%8D%95%EA%B5%AC","블로그 보기")</f>
        <v>블로그 보기</v>
      </c>
      <c r="J54" s="5"/>
      <c r="K54" s="5"/>
      <c r="L54" s="4"/>
      <c r="M54" s="7">
        <v>46211</v>
      </c>
      <c r="N54" s="8">
        <v>12</v>
      </c>
      <c r="O54" s="8">
        <v>94</v>
      </c>
      <c r="P54" s="8">
        <v>121</v>
      </c>
      <c r="Q54" s="8">
        <v>1</v>
      </c>
      <c r="R54" s="8">
        <v>1</v>
      </c>
      <c r="S54" s="4" t="s">
        <v>202</v>
      </c>
      <c r="T54" s="9">
        <v>36.365740500000001</v>
      </c>
      <c r="U54" s="9">
        <v>127.42620580000001</v>
      </c>
    </row>
    <row r="55" spans="1:21" ht="32.1" customHeight="1">
      <c r="A55" s="5" t="s">
        <v>36</v>
      </c>
      <c r="B55" s="5" t="s">
        <v>9</v>
      </c>
      <c r="C55" s="4" t="s">
        <v>293</v>
      </c>
      <c r="D55" s="4" t="s">
        <v>71</v>
      </c>
      <c r="E55" s="6">
        <v>53</v>
      </c>
      <c r="F55" s="4" t="s">
        <v>290</v>
      </c>
      <c r="G55" s="4" t="s">
        <v>294</v>
      </c>
      <c r="H55" s="4" t="s">
        <v>295</v>
      </c>
      <c r="I55" s="5" t="str">
        <f>HYPERLINK("https://search.naver.com/search.naver?where=blog&amp;query=%EC%9D%80%ED%98%9C%EC%8B%9D%EB%8B%B9+%EB%8C%80%EB%8D%95%EA%B5%AC","블로그 보기")</f>
        <v>블로그 보기</v>
      </c>
      <c r="J55" s="5" t="str">
        <f>HYPERLINK("https://www.instagram.com/daejeon_eunhye?igsh=MTQwaDV1bDVybjY5YQ%3D%3D&amp;utm_source=qr","업체 보기")</f>
        <v>업체 보기</v>
      </c>
      <c r="K55" s="5"/>
      <c r="L55" s="4"/>
      <c r="M55" s="7">
        <v>46192</v>
      </c>
      <c r="N55" s="8">
        <v>12</v>
      </c>
      <c r="O55" s="8">
        <v>96</v>
      </c>
      <c r="P55" s="8">
        <v>191</v>
      </c>
      <c r="Q55" s="8">
        <v>1</v>
      </c>
      <c r="R55" s="8">
        <v>1</v>
      </c>
      <c r="S55" s="4" t="s">
        <v>134</v>
      </c>
      <c r="T55" s="9">
        <v>36.359622100000003</v>
      </c>
      <c r="U55" s="9">
        <v>127.42722500000001</v>
      </c>
    </row>
    <row r="56" spans="1:21" ht="32.1" customHeight="1">
      <c r="A56" s="5" t="s">
        <v>36</v>
      </c>
      <c r="B56" s="5" t="s">
        <v>9</v>
      </c>
      <c r="C56" s="4" t="s">
        <v>296</v>
      </c>
      <c r="D56" s="4" t="s">
        <v>119</v>
      </c>
      <c r="E56" s="6">
        <v>53</v>
      </c>
      <c r="F56" s="4" t="s">
        <v>297</v>
      </c>
      <c r="G56" s="4" t="s">
        <v>298</v>
      </c>
      <c r="H56" s="4" t="s">
        <v>299</v>
      </c>
      <c r="I56" s="5" t="str">
        <f>HYPERLINK("https://search.naver.com/search.naver?where=blog&amp;query=%EC%9E%A5%EC%88%98%EC%B4%8C+%EC%86%A1%EC%B4%8C%EC%A0%90+%EB%8C%80%EB%8D%95%EA%B5%AC","블로그 보기")</f>
        <v>블로그 보기</v>
      </c>
      <c r="J56" s="5"/>
      <c r="K56" s="5"/>
      <c r="L56" s="4"/>
      <c r="M56" s="7">
        <v>46222</v>
      </c>
      <c r="N56" s="8">
        <v>28</v>
      </c>
      <c r="O56" s="8">
        <v>95</v>
      </c>
      <c r="P56" s="8">
        <v>171</v>
      </c>
      <c r="Q56" s="8">
        <v>1</v>
      </c>
      <c r="R56" s="8">
        <v>1</v>
      </c>
      <c r="S56" s="4" t="s">
        <v>300</v>
      </c>
      <c r="T56" s="9">
        <v>36.363251900000002</v>
      </c>
      <c r="U56" s="9">
        <v>127.44495790000001</v>
      </c>
    </row>
    <row r="57" spans="1:21" ht="32.1" customHeight="1">
      <c r="A57" s="5" t="s">
        <v>36</v>
      </c>
      <c r="B57" s="5" t="s">
        <v>9</v>
      </c>
      <c r="C57" s="4" t="s">
        <v>301</v>
      </c>
      <c r="D57" s="4" t="s">
        <v>125</v>
      </c>
      <c r="E57" s="6">
        <v>53</v>
      </c>
      <c r="F57" s="4" t="s">
        <v>302</v>
      </c>
      <c r="G57" s="4" t="s">
        <v>303</v>
      </c>
      <c r="H57" s="4" t="s">
        <v>304</v>
      </c>
      <c r="I57" s="5" t="str">
        <f>HYPERLINK("https://search.naver.com/search.naver?where=blog&amp;query=%EC%A4%80%EC%A7%AC%EB%BD%95+%EB%8C%80%EB%8D%95%EA%B5%AC","블로그 보기")</f>
        <v>블로그 보기</v>
      </c>
      <c r="J57" s="5" t="str">
        <f>HYPERLINK("https://cafe.naver.com/","업체 보기")</f>
        <v>업체 보기</v>
      </c>
      <c r="K57" s="5"/>
      <c r="L57" s="4"/>
      <c r="M57" s="7">
        <v>46221</v>
      </c>
      <c r="N57" s="8">
        <v>25</v>
      </c>
      <c r="O57" s="8">
        <v>61</v>
      </c>
      <c r="P57" s="8">
        <v>63</v>
      </c>
      <c r="Q57" s="8">
        <v>2</v>
      </c>
      <c r="R57" s="8">
        <v>0</v>
      </c>
      <c r="S57" s="4" t="s">
        <v>184</v>
      </c>
      <c r="T57" s="9">
        <v>36.4349214</v>
      </c>
      <c r="U57" s="9">
        <v>127.4211548</v>
      </c>
    </row>
    <row r="58" spans="1:21" ht="32.1" customHeight="1">
      <c r="A58" s="5" t="s">
        <v>36</v>
      </c>
      <c r="B58" s="5" t="s">
        <v>9</v>
      </c>
      <c r="C58" s="4" t="s">
        <v>305</v>
      </c>
      <c r="D58" s="4" t="s">
        <v>306</v>
      </c>
      <c r="E58" s="6">
        <v>53</v>
      </c>
      <c r="F58" s="4" t="s">
        <v>307</v>
      </c>
      <c r="G58" s="4" t="s">
        <v>308</v>
      </c>
      <c r="H58" s="4" t="s">
        <v>309</v>
      </c>
      <c r="I58" s="5" t="str">
        <f>HYPERLINK("https://search.naver.com/search.naver?where=blog&amp;query=%ED%82%B4%EC%8A%A4%EB%8F%88%EA%B9%8C%EC%8A%A4+%EB%8C%80%EB%8D%95%EA%B5%AC","블로그 보기")</f>
        <v>블로그 보기</v>
      </c>
      <c r="J58" s="5"/>
      <c r="K58" s="5"/>
      <c r="L58" s="4"/>
      <c r="M58" s="7">
        <v>46216</v>
      </c>
      <c r="N58" s="8">
        <v>33</v>
      </c>
      <c r="O58" s="8">
        <v>94</v>
      </c>
      <c r="P58" s="8">
        <v>189</v>
      </c>
      <c r="Q58" s="8">
        <v>1</v>
      </c>
      <c r="R58" s="8">
        <v>1</v>
      </c>
      <c r="S58" s="4" t="s">
        <v>139</v>
      </c>
      <c r="T58" s="9">
        <v>36.35136</v>
      </c>
      <c r="U58" s="9">
        <v>127.42147490000001</v>
      </c>
    </row>
    <row r="59" spans="1:21" ht="32.1" customHeight="1">
      <c r="A59" s="5" t="s">
        <v>36</v>
      </c>
      <c r="B59" s="5" t="s">
        <v>9</v>
      </c>
      <c r="C59" s="4" t="s">
        <v>310</v>
      </c>
      <c r="D59" s="4" t="s">
        <v>170</v>
      </c>
      <c r="E59" s="6">
        <v>53</v>
      </c>
      <c r="F59" s="4" t="s">
        <v>311</v>
      </c>
      <c r="G59" s="4" t="s">
        <v>312</v>
      </c>
      <c r="H59" s="4" t="s">
        <v>313</v>
      </c>
      <c r="I59" s="5" t="str">
        <f>HYPERLINK("https://search.naver.com/search.naver?where=blog&amp;query=%ED%98%9C%EC%84%B1%EC%98%A5+%EB%8C%80%EB%8D%95%EA%B5%AC","블로그 보기")</f>
        <v>블로그 보기</v>
      </c>
      <c r="J59" s="5"/>
      <c r="K59" s="5"/>
      <c r="L59" s="4"/>
      <c r="M59" s="7">
        <v>46216</v>
      </c>
      <c r="N59" s="8">
        <v>42</v>
      </c>
      <c r="O59" s="8">
        <v>93</v>
      </c>
      <c r="P59" s="8">
        <v>190</v>
      </c>
      <c r="Q59" s="8">
        <v>1</v>
      </c>
      <c r="R59" s="8">
        <v>1</v>
      </c>
      <c r="S59" s="4" t="s">
        <v>174</v>
      </c>
      <c r="T59" s="9">
        <v>36.359314699999999</v>
      </c>
      <c r="U59" s="9">
        <v>127.4258928</v>
      </c>
    </row>
    <row r="60" spans="1:21" ht="32.1" customHeight="1">
      <c r="A60" s="5" t="s">
        <v>36</v>
      </c>
      <c r="B60" s="5" t="s">
        <v>9</v>
      </c>
      <c r="C60" s="4" t="s">
        <v>314</v>
      </c>
      <c r="D60" s="4" t="s">
        <v>71</v>
      </c>
      <c r="E60" s="6">
        <v>52</v>
      </c>
      <c r="F60" s="4" t="s">
        <v>56</v>
      </c>
      <c r="G60" s="4" t="s">
        <v>315</v>
      </c>
      <c r="H60" s="4" t="s">
        <v>316</v>
      </c>
      <c r="I60" s="5" t="s">
        <v>317</v>
      </c>
      <c r="J60" s="5"/>
      <c r="K60" s="5"/>
      <c r="L60" s="4"/>
      <c r="M60" s="7">
        <v>46220</v>
      </c>
      <c r="N60" s="8">
        <v>100</v>
      </c>
      <c r="O60" s="8">
        <v>87</v>
      </c>
      <c r="P60" s="8">
        <v>500</v>
      </c>
      <c r="Q60" s="8">
        <v>1</v>
      </c>
      <c r="R60" s="8">
        <v>0</v>
      </c>
      <c r="S60" s="4" t="s">
        <v>300</v>
      </c>
      <c r="T60" s="9">
        <v>36.465988899999999</v>
      </c>
      <c r="U60" s="9">
        <v>127.46867140000001</v>
      </c>
    </row>
    <row r="61" spans="1:21" ht="32.1" hidden="1" customHeight="1">
      <c r="A61" s="5" t="s">
        <v>1857</v>
      </c>
      <c r="B61" s="5" t="s">
        <v>9</v>
      </c>
      <c r="C61" s="4" t="s">
        <v>318</v>
      </c>
      <c r="D61" s="4" t="s">
        <v>319</v>
      </c>
      <c r="E61" s="6">
        <v>52</v>
      </c>
      <c r="F61" s="4" t="s">
        <v>165</v>
      </c>
      <c r="G61" s="4" t="s">
        <v>320</v>
      </c>
      <c r="H61" s="4" t="s">
        <v>321</v>
      </c>
      <c r="I61" s="5" t="str">
        <f>HYPERLINK("https://search.naver.com/search.naver?where=blog&amp;query=%EB%95%85%EC%8A%A4%EB%B6%80%EB%8C%80%EC%B0%8C%EA%B0%9C+%EB%B9%84%EB%9E%98%EC%A0%90+%EB%B9%84%EB%9E%98%EB%8F%99","블로그 보기")</f>
        <v>블로그 보기</v>
      </c>
      <c r="J61" s="5" t="str">
        <f>HYPERLINK("https://www.youtube.com/@tsbudae_official","업체 보기")</f>
        <v>업체 보기</v>
      </c>
      <c r="K61" s="5"/>
      <c r="L61" s="4"/>
      <c r="M61" s="7">
        <v>46136</v>
      </c>
      <c r="N61" s="8">
        <v>10</v>
      </c>
      <c r="O61" s="8">
        <v>29</v>
      </c>
      <c r="P61" s="8">
        <v>47</v>
      </c>
      <c r="Q61" s="8">
        <v>1</v>
      </c>
      <c r="R61" s="8">
        <v>1</v>
      </c>
      <c r="S61" s="4" t="s">
        <v>163</v>
      </c>
      <c r="T61" s="9">
        <v>36.3558114</v>
      </c>
      <c r="U61" s="9">
        <v>127.4502748</v>
      </c>
    </row>
    <row r="62" spans="1:21" ht="32.1" customHeight="1">
      <c r="A62" s="5" t="s">
        <v>36</v>
      </c>
      <c r="B62" s="5" t="s">
        <v>9</v>
      </c>
      <c r="C62" s="4" t="s">
        <v>322</v>
      </c>
      <c r="D62" s="4" t="s">
        <v>136</v>
      </c>
      <c r="E62" s="6">
        <v>52</v>
      </c>
      <c r="F62" s="4" t="s">
        <v>323</v>
      </c>
      <c r="G62" s="4" t="s">
        <v>324</v>
      </c>
      <c r="H62" s="4" t="s">
        <v>325</v>
      </c>
      <c r="I62" s="5" t="str">
        <f>HYPERLINK("https://search.naver.com/search.naver?where=blog&amp;query=%EC%83%A4%EB%B8%8C%EC%8C%88%EC%A3%BC%EB%A8%B8%EB%8B%88+%EC%98%A4%EC%A0%95%EC%A0%90+%EB%8C%80%EB%8D%95%EA%B5%AC","블로그 보기")</f>
        <v>블로그 보기</v>
      </c>
      <c r="J62" s="5"/>
      <c r="K62" s="5"/>
      <c r="L62" s="4"/>
      <c r="M62" s="7">
        <v>46204</v>
      </c>
      <c r="N62" s="8">
        <v>23</v>
      </c>
      <c r="O62" s="8">
        <v>87</v>
      </c>
      <c r="P62" s="8">
        <v>96</v>
      </c>
      <c r="Q62" s="8">
        <v>1</v>
      </c>
      <c r="R62" s="8">
        <v>1</v>
      </c>
      <c r="S62" s="4" t="s">
        <v>139</v>
      </c>
      <c r="T62" s="9">
        <v>36.358234600000003</v>
      </c>
      <c r="U62" s="9">
        <v>127.41492220000001</v>
      </c>
    </row>
    <row r="63" spans="1:21" ht="32.1" customHeight="1">
      <c r="A63" s="5" t="s">
        <v>36</v>
      </c>
      <c r="B63" s="5" t="s">
        <v>9</v>
      </c>
      <c r="C63" s="4" t="s">
        <v>326</v>
      </c>
      <c r="D63" s="4" t="s">
        <v>55</v>
      </c>
      <c r="E63" s="6">
        <v>52</v>
      </c>
      <c r="F63" s="4" t="s">
        <v>302</v>
      </c>
      <c r="G63" s="4" t="s">
        <v>327</v>
      </c>
      <c r="H63" s="4" t="s">
        <v>328</v>
      </c>
      <c r="I63" s="5" t="str">
        <f>HYPERLINK("https://search.naver.com/search.naver?where=blog&amp;query=%EC%88%9C%EB%8C%80%ED%8F%AD%EC%8B%9D%EC%86%8C+%EB%8C%80%EB%8D%95%EA%B5%AC","블로그 보기")</f>
        <v>블로그 보기</v>
      </c>
      <c r="J63" s="5"/>
      <c r="K63" s="5"/>
      <c r="L63" s="4"/>
      <c r="M63" s="7">
        <v>46220</v>
      </c>
      <c r="N63" s="8">
        <v>25</v>
      </c>
      <c r="O63" s="8">
        <v>24</v>
      </c>
      <c r="P63" s="8">
        <v>25</v>
      </c>
      <c r="Q63" s="8">
        <v>2</v>
      </c>
      <c r="R63" s="8">
        <v>0</v>
      </c>
      <c r="S63" s="4" t="s">
        <v>329</v>
      </c>
      <c r="T63" s="9">
        <v>36.436288099999999</v>
      </c>
      <c r="U63" s="9">
        <v>127.42164440000001</v>
      </c>
    </row>
    <row r="64" spans="1:21" ht="32.1" customHeight="1">
      <c r="A64" s="5" t="s">
        <v>36</v>
      </c>
      <c r="B64" s="5" t="s">
        <v>9</v>
      </c>
      <c r="C64" s="4" t="s">
        <v>330</v>
      </c>
      <c r="D64" s="4" t="s">
        <v>220</v>
      </c>
      <c r="E64" s="6">
        <v>52</v>
      </c>
      <c r="F64" s="4" t="s">
        <v>331</v>
      </c>
      <c r="G64" s="4" t="s">
        <v>332</v>
      </c>
      <c r="H64" s="4" t="s">
        <v>333</v>
      </c>
      <c r="I64" s="5" t="str">
        <f>HYPERLINK("https://search.naver.com/search.naver?where=blog&amp;query=%EC%8A%A4%EC%8B%9C%EB%A5%98+%EB%8C%80%EB%8D%95%EA%B5%AC","블로그 보기")</f>
        <v>블로그 보기</v>
      </c>
      <c r="J64" s="5"/>
      <c r="K64" s="5"/>
      <c r="L64" s="4"/>
      <c r="M64" s="7">
        <v>46213</v>
      </c>
      <c r="N64" s="8">
        <v>20</v>
      </c>
      <c r="O64" s="8">
        <v>78</v>
      </c>
      <c r="P64" s="8">
        <v>83</v>
      </c>
      <c r="Q64" s="8">
        <v>1</v>
      </c>
      <c r="R64" s="8">
        <v>1</v>
      </c>
      <c r="S64" s="4" t="s">
        <v>139</v>
      </c>
      <c r="T64" s="9">
        <v>36.363687900000002</v>
      </c>
      <c r="U64" s="9">
        <v>127.437416</v>
      </c>
    </row>
    <row r="65" spans="1:21" ht="32.1" customHeight="1">
      <c r="A65" s="5" t="s">
        <v>36</v>
      </c>
      <c r="B65" s="5" t="s">
        <v>9</v>
      </c>
      <c r="C65" s="4" t="s">
        <v>334</v>
      </c>
      <c r="D65" s="4" t="s">
        <v>335</v>
      </c>
      <c r="E65" s="6">
        <v>52</v>
      </c>
      <c r="F65" s="4" t="s">
        <v>302</v>
      </c>
      <c r="G65" s="4" t="s">
        <v>336</v>
      </c>
      <c r="H65" s="4" t="s">
        <v>337</v>
      </c>
      <c r="I65" s="5" t="str">
        <f>HYPERLINK("https://search.naver.com/search.naver?where=blog&amp;query=%EC%AF%94%EB%B3%B4+%EB%8C%80%EB%8D%95%EA%B5%AC","블로그 보기")</f>
        <v>블로그 보기</v>
      </c>
      <c r="J65" s="5"/>
      <c r="K65" s="5"/>
      <c r="L65" s="4"/>
      <c r="M65" s="7">
        <v>46212</v>
      </c>
      <c r="N65" s="8">
        <v>25</v>
      </c>
      <c r="O65" s="8">
        <v>46</v>
      </c>
      <c r="P65" s="8">
        <v>48</v>
      </c>
      <c r="Q65" s="8">
        <v>1</v>
      </c>
      <c r="R65" s="8">
        <v>1</v>
      </c>
      <c r="S65" s="4" t="s">
        <v>229</v>
      </c>
      <c r="T65" s="9">
        <v>36.352400199999998</v>
      </c>
      <c r="U65" s="9">
        <v>127.4246479</v>
      </c>
    </row>
    <row r="66" spans="1:21" ht="32.1" customHeight="1">
      <c r="A66" s="5" t="s">
        <v>36</v>
      </c>
      <c r="B66" s="5" t="s">
        <v>9</v>
      </c>
      <c r="C66" s="4" t="s">
        <v>338</v>
      </c>
      <c r="D66" s="4" t="s">
        <v>339</v>
      </c>
      <c r="E66" s="6">
        <v>51</v>
      </c>
      <c r="F66" s="4" t="s">
        <v>56</v>
      </c>
      <c r="G66" s="4" t="s">
        <v>340</v>
      </c>
      <c r="H66" s="4" t="s">
        <v>341</v>
      </c>
      <c r="I66" s="5" t="str">
        <f>HYPERLINK("https://search.naver.com/search.naver?where=blog&amp;query=%EA%B9%80%EB%B0%A5%EC%8B%A0%ED%99%94+%EB%8C%80%EB%8D%95%EA%B5%AC","블로그 보기")</f>
        <v>블로그 보기</v>
      </c>
      <c r="J66" s="5"/>
      <c r="K66" s="5"/>
      <c r="L66" s="4"/>
      <c r="M66" s="7">
        <v>46220</v>
      </c>
      <c r="N66" s="8">
        <v>100</v>
      </c>
      <c r="O66" s="8">
        <v>100</v>
      </c>
      <c r="P66" s="8">
        <v>347</v>
      </c>
      <c r="Q66" s="8">
        <v>1</v>
      </c>
      <c r="R66" s="8">
        <v>0</v>
      </c>
      <c r="S66" s="4" t="s">
        <v>202</v>
      </c>
      <c r="T66" s="9">
        <v>36.363657000000003</v>
      </c>
      <c r="U66" s="9">
        <v>127.42501729999999</v>
      </c>
    </row>
    <row r="67" spans="1:21" ht="32.1" customHeight="1">
      <c r="A67" s="5" t="s">
        <v>36</v>
      </c>
      <c r="B67" s="5" t="s">
        <v>9</v>
      </c>
      <c r="C67" s="4" t="s">
        <v>342</v>
      </c>
      <c r="D67" s="4" t="s">
        <v>44</v>
      </c>
      <c r="E67" s="6">
        <v>51</v>
      </c>
      <c r="F67" s="4" t="s">
        <v>56</v>
      </c>
      <c r="G67" s="4" t="s">
        <v>343</v>
      </c>
      <c r="H67" s="4" t="s">
        <v>344</v>
      </c>
      <c r="I67" s="5" t="str">
        <f>HYPERLINK("https://search.naver.com/search.naver?where=blog&amp;query=%EC%96%91%EC%A7%80%EB%A9%B4%EC%98%A5+%EC%A4%91%EB%A6%AC%EB%8F%99","블로그 보기")</f>
        <v>블로그 보기</v>
      </c>
      <c r="J67" s="5"/>
      <c r="K67" s="5"/>
      <c r="L67" s="4"/>
      <c r="M67" s="7">
        <v>46220</v>
      </c>
      <c r="N67" s="8">
        <v>100</v>
      </c>
      <c r="O67" s="8">
        <v>99</v>
      </c>
      <c r="P67" s="8">
        <v>277</v>
      </c>
      <c r="Q67" s="8">
        <v>1</v>
      </c>
      <c r="R67" s="8">
        <v>0</v>
      </c>
      <c r="S67" s="4" t="s">
        <v>174</v>
      </c>
      <c r="T67" s="9">
        <v>36.360388999999998</v>
      </c>
      <c r="U67" s="9">
        <v>127.42773560000001</v>
      </c>
    </row>
    <row r="68" spans="1:21" ht="32.1" customHeight="1">
      <c r="A68" s="5" t="s">
        <v>36</v>
      </c>
      <c r="B68" s="5" t="s">
        <v>9</v>
      </c>
      <c r="C68" s="4" t="s">
        <v>345</v>
      </c>
      <c r="D68" s="4" t="s">
        <v>125</v>
      </c>
      <c r="E68" s="6">
        <v>51</v>
      </c>
      <c r="F68" s="4" t="s">
        <v>151</v>
      </c>
      <c r="G68" s="4" t="s">
        <v>346</v>
      </c>
      <c r="H68" s="4" t="s">
        <v>347</v>
      </c>
      <c r="I68" s="5" t="str">
        <f>HYPERLINK("https://search.naver.com/search.naver?where=blog&amp;query=%EC%99%95%EC%A7%AC%EB%BD%95%EC%88%9C%EB%91%90%EB%B6%80+%EB%8C%80%EB%8D%95%EA%B5%AC","블로그 보기")</f>
        <v>블로그 보기</v>
      </c>
      <c r="J68" s="5"/>
      <c r="K68" s="5"/>
      <c r="L68" s="4"/>
      <c r="M68" s="7">
        <v>46213</v>
      </c>
      <c r="N68" s="8">
        <v>57</v>
      </c>
      <c r="O68" s="8">
        <v>99</v>
      </c>
      <c r="P68" s="8">
        <v>277</v>
      </c>
      <c r="Q68" s="8">
        <v>1</v>
      </c>
      <c r="R68" s="8">
        <v>0</v>
      </c>
      <c r="S68" s="4" t="s">
        <v>348</v>
      </c>
      <c r="T68" s="9">
        <v>36.354792000000003</v>
      </c>
      <c r="U68" s="9">
        <v>127.44764910000001</v>
      </c>
    </row>
    <row r="69" spans="1:21" ht="32.1" customHeight="1">
      <c r="A69" s="5" t="s">
        <v>36</v>
      </c>
      <c r="B69" s="5" t="s">
        <v>9</v>
      </c>
      <c r="C69" s="4" t="s">
        <v>349</v>
      </c>
      <c r="D69" s="4" t="s">
        <v>38</v>
      </c>
      <c r="E69" s="6">
        <v>51</v>
      </c>
      <c r="F69" s="4" t="s">
        <v>350</v>
      </c>
      <c r="G69" s="4" t="s">
        <v>351</v>
      </c>
      <c r="H69" s="4" t="s">
        <v>352</v>
      </c>
      <c r="I69" s="5" t="str">
        <f>HYPERLINK("https://search.naver.com/search.naver?where=blog&amp;query=%EC%9A%B0%EB%A6%AC%EC%86%90%EC%B9%BC%EA%B5%AD%EC%88%98+%EB%8C%80%EB%8D%95%EA%B5%AC","블로그 보기")</f>
        <v>블로그 보기</v>
      </c>
      <c r="J69" s="5"/>
      <c r="K69" s="5"/>
      <c r="L69" s="4"/>
      <c r="M69" s="7">
        <v>46190</v>
      </c>
      <c r="N69" s="8">
        <v>5</v>
      </c>
      <c r="O69" s="8">
        <v>28</v>
      </c>
      <c r="P69" s="8">
        <v>29</v>
      </c>
      <c r="Q69" s="8">
        <v>1</v>
      </c>
      <c r="R69" s="8">
        <v>1</v>
      </c>
      <c r="S69" s="4" t="s">
        <v>134</v>
      </c>
      <c r="T69" s="9">
        <v>36.362282999999998</v>
      </c>
      <c r="U69" s="9">
        <v>127.446128</v>
      </c>
    </row>
    <row r="70" spans="1:21" ht="32.1" customHeight="1">
      <c r="A70" s="5" t="s">
        <v>36</v>
      </c>
      <c r="B70" s="5" t="s">
        <v>9</v>
      </c>
      <c r="C70" s="4" t="s">
        <v>353</v>
      </c>
      <c r="D70" s="4" t="s">
        <v>354</v>
      </c>
      <c r="E70" s="6">
        <v>51</v>
      </c>
      <c r="F70" s="4" t="s">
        <v>355</v>
      </c>
      <c r="G70" s="4" t="s">
        <v>356</v>
      </c>
      <c r="H70" s="4" t="s">
        <v>357</v>
      </c>
      <c r="I70" s="5" t="str">
        <f>HYPERLINK("https://search.naver.com/search.naver?where=blog&amp;query=%ED%83%9C%EC%95%88%EB%B0%98%EB%8F%84+%ED%8F%AC%ED%95%AD%EB%AC%BC%ED%9A%8C+%EC%A4%91%EB%A6%AC%EB%8F%99","블로그 보기")</f>
        <v>블로그 보기</v>
      </c>
      <c r="J70" s="5"/>
      <c r="K70" s="5"/>
      <c r="L70" s="4"/>
      <c r="M70" s="7">
        <v>46222</v>
      </c>
      <c r="N70" s="8">
        <v>78</v>
      </c>
      <c r="O70" s="8">
        <v>96</v>
      </c>
      <c r="P70" s="8">
        <v>342</v>
      </c>
      <c r="Q70" s="8">
        <v>1</v>
      </c>
      <c r="R70" s="8">
        <v>0</v>
      </c>
      <c r="S70" s="4" t="s">
        <v>139</v>
      </c>
      <c r="T70" s="9">
        <v>36.359544</v>
      </c>
      <c r="U70" s="9">
        <v>127.42864179999999</v>
      </c>
    </row>
    <row r="71" spans="1:21" ht="32.1" customHeight="1">
      <c r="A71" s="5" t="s">
        <v>36</v>
      </c>
      <c r="B71" s="5" t="s">
        <v>9</v>
      </c>
      <c r="C71" s="4" t="s">
        <v>358</v>
      </c>
      <c r="D71" s="4" t="s">
        <v>55</v>
      </c>
      <c r="E71" s="6">
        <v>51</v>
      </c>
      <c r="F71" s="4" t="s">
        <v>359</v>
      </c>
      <c r="G71" s="4" t="s">
        <v>360</v>
      </c>
      <c r="H71" s="4" t="s">
        <v>361</v>
      </c>
      <c r="I71" s="5" t="str">
        <f>HYPERLINK("https://search.naver.com/search.naver?where=blog&amp;query=%ED%8C%94%EB%8F%84%ED%95%9C%EB%A7%88%EB%8B%B9%EC%88%9C%EB%8C%80+%EB%8C%80%EB%8D%95%EA%B5%AC","블로그 보기")</f>
        <v>블로그 보기</v>
      </c>
      <c r="J71" s="5"/>
      <c r="K71" s="5"/>
      <c r="L71" s="4"/>
      <c r="M71" s="7">
        <v>46217</v>
      </c>
      <c r="N71" s="8">
        <v>81</v>
      </c>
      <c r="O71" s="8">
        <v>81</v>
      </c>
      <c r="P71" s="8">
        <v>291</v>
      </c>
      <c r="Q71" s="8">
        <v>1</v>
      </c>
      <c r="R71" s="8">
        <v>0</v>
      </c>
      <c r="S71" s="4" t="s">
        <v>148</v>
      </c>
      <c r="T71" s="9">
        <v>36.444664299999999</v>
      </c>
      <c r="U71" s="9">
        <v>127.4105268</v>
      </c>
    </row>
    <row r="72" spans="1:21" ht="32.1" customHeight="1">
      <c r="A72" s="5" t="s">
        <v>36</v>
      </c>
      <c r="B72" s="5" t="s">
        <v>9</v>
      </c>
      <c r="C72" s="4" t="s">
        <v>362</v>
      </c>
      <c r="D72" s="4" t="s">
        <v>71</v>
      </c>
      <c r="E72" s="6">
        <v>50</v>
      </c>
      <c r="F72" s="4" t="s">
        <v>363</v>
      </c>
      <c r="G72" s="4" t="s">
        <v>364</v>
      </c>
      <c r="H72" s="4" t="s">
        <v>365</v>
      </c>
      <c r="I72" s="5" t="str">
        <f>HYPERLINK("https://search.naver.com/search.naver?where=blog&amp;query=%EA%B8%88%EA%B0%95%EC%98%A5%EC%B2%9C%EC%98%AC%EA%B0%B1%EC%9D%B4+%EB%8C%80%EB%8D%95%EA%B5%AC","블로그 보기")</f>
        <v>블로그 보기</v>
      </c>
      <c r="J72" s="5"/>
      <c r="K72" s="5"/>
      <c r="L72" s="4"/>
      <c r="M72" s="7">
        <v>46215</v>
      </c>
      <c r="N72" s="8">
        <v>48</v>
      </c>
      <c r="O72" s="8">
        <v>91</v>
      </c>
      <c r="P72" s="8">
        <v>173</v>
      </c>
      <c r="Q72" s="8">
        <v>1</v>
      </c>
      <c r="R72" s="8">
        <v>0</v>
      </c>
      <c r="S72" s="4" t="s">
        <v>213</v>
      </c>
      <c r="T72" s="9">
        <v>36.3570943</v>
      </c>
      <c r="U72" s="9">
        <v>127.4447033</v>
      </c>
    </row>
    <row r="73" spans="1:21" ht="32.1" customHeight="1">
      <c r="A73" s="5" t="s">
        <v>36</v>
      </c>
      <c r="B73" s="5" t="s">
        <v>9</v>
      </c>
      <c r="C73" s="4" t="s">
        <v>366</v>
      </c>
      <c r="D73" s="4" t="s">
        <v>125</v>
      </c>
      <c r="E73" s="6">
        <v>50</v>
      </c>
      <c r="F73" s="4" t="s">
        <v>367</v>
      </c>
      <c r="G73" s="4" t="s">
        <v>368</v>
      </c>
      <c r="H73" s="4" t="s">
        <v>369</v>
      </c>
      <c r="I73" s="5" t="str">
        <f>HYPERLINK("https://search.naver.com/search.naver?where=blog&amp;query=%EB%AF%B8%EA%B0%95%EC%86%90%EC%A7%9C%EC%9E%A5+%EB%8C%80%EB%8D%95%EA%B5%AC","블로그 보기")</f>
        <v>블로그 보기</v>
      </c>
      <c r="J73" s="5" t="str">
        <f>HYPERLINK("https://www.instagram.com/p/CIuQqKNlYFt/?igshid=1tufzivnygrls","업체 보기")</f>
        <v>업체 보기</v>
      </c>
      <c r="K73" s="5"/>
      <c r="L73" s="4"/>
      <c r="M73" s="7">
        <v>46156</v>
      </c>
      <c r="N73" s="8">
        <v>13</v>
      </c>
      <c r="O73" s="8">
        <v>88</v>
      </c>
      <c r="P73" s="8">
        <v>136</v>
      </c>
      <c r="Q73" s="8">
        <v>1</v>
      </c>
      <c r="R73" s="8">
        <v>0</v>
      </c>
      <c r="S73" s="4" t="s">
        <v>129</v>
      </c>
      <c r="T73" s="9">
        <v>36.436698</v>
      </c>
      <c r="U73" s="9">
        <v>127.4215548</v>
      </c>
    </row>
    <row r="74" spans="1:21" ht="32.1" customHeight="1">
      <c r="A74" s="5" t="s">
        <v>36</v>
      </c>
      <c r="B74" s="5" t="s">
        <v>9</v>
      </c>
      <c r="C74" s="4" t="s">
        <v>370</v>
      </c>
      <c r="D74" s="4" t="s">
        <v>71</v>
      </c>
      <c r="E74" s="6">
        <v>50</v>
      </c>
      <c r="F74" s="4" t="s">
        <v>371</v>
      </c>
      <c r="G74" s="4" t="s">
        <v>372</v>
      </c>
      <c r="H74" s="4" t="s">
        <v>373</v>
      </c>
      <c r="I74" s="5" t="str">
        <f>HYPERLINK("https://search.naver.com/search.naver?where=blog&amp;query=%EB%B6%80%EB%9C%B0%EC%83%9D%EA%B3%A0%EA%B8%B0+%EB%B9%84%EB%9E%98%EB%8F%99","블로그 보기")</f>
        <v>블로그 보기</v>
      </c>
      <c r="J74" s="5"/>
      <c r="K74" s="5"/>
      <c r="L74" s="4"/>
      <c r="M74" s="7">
        <v>46220</v>
      </c>
      <c r="N74" s="8">
        <v>66</v>
      </c>
      <c r="O74" s="8">
        <v>95</v>
      </c>
      <c r="P74" s="8">
        <v>167</v>
      </c>
      <c r="Q74" s="8">
        <v>1</v>
      </c>
      <c r="R74" s="8">
        <v>0</v>
      </c>
      <c r="S74" s="4" t="s">
        <v>163</v>
      </c>
      <c r="T74" s="9">
        <v>36.356839700000002</v>
      </c>
      <c r="U74" s="9">
        <v>127.4504647</v>
      </c>
    </row>
    <row r="75" spans="1:21" ht="32.1" customHeight="1">
      <c r="A75" s="5" t="s">
        <v>36</v>
      </c>
      <c r="B75" s="5" t="s">
        <v>9</v>
      </c>
      <c r="C75" s="4" t="s">
        <v>374</v>
      </c>
      <c r="D75" s="4" t="s">
        <v>71</v>
      </c>
      <c r="E75" s="6">
        <v>50</v>
      </c>
      <c r="F75" s="4" t="s">
        <v>56</v>
      </c>
      <c r="G75" s="4" t="s">
        <v>375</v>
      </c>
      <c r="H75" s="4" t="s">
        <v>376</v>
      </c>
      <c r="I75" s="5" t="str">
        <f>HYPERLINK("https://search.naver.com/search.naver?where=blog&amp;query=%EC%88%98%ED%86%B5%EA%B3%A8%EC%97%BC%EC%86%8C%EB%AA%85%EA%B0%80+%EC%A4%91%EB%A6%AC%EC%A7%81%EC%98%81%EC%A0%90+%EB%8C%80%EB%8D%95%EA%B5%AC","블로그 보기")</f>
        <v>블로그 보기</v>
      </c>
      <c r="J75" s="5"/>
      <c r="K75" s="5"/>
      <c r="L75" s="4"/>
      <c r="M75" s="7">
        <v>46220</v>
      </c>
      <c r="N75" s="8">
        <v>100</v>
      </c>
      <c r="O75" s="8">
        <v>91</v>
      </c>
      <c r="P75" s="8">
        <v>177</v>
      </c>
      <c r="Q75" s="8">
        <v>1</v>
      </c>
      <c r="R75" s="8">
        <v>0</v>
      </c>
      <c r="S75" s="4" t="s">
        <v>300</v>
      </c>
      <c r="T75" s="9">
        <v>36.364925900000003</v>
      </c>
      <c r="U75" s="9">
        <v>127.4254553</v>
      </c>
    </row>
    <row r="76" spans="1:21" ht="32.1" customHeight="1">
      <c r="A76" s="5" t="s">
        <v>36</v>
      </c>
      <c r="B76" s="5" t="s">
        <v>9</v>
      </c>
      <c r="C76" s="4" t="s">
        <v>377</v>
      </c>
      <c r="D76" s="4" t="s">
        <v>71</v>
      </c>
      <c r="E76" s="6">
        <v>50</v>
      </c>
      <c r="F76" s="4" t="s">
        <v>267</v>
      </c>
      <c r="G76" s="4" t="s">
        <v>378</v>
      </c>
      <c r="H76" s="4" t="s">
        <v>379</v>
      </c>
      <c r="I76" s="5" t="str">
        <f>HYPERLINK("https://search.naver.com/search.naver?where=blog&amp;query=%EC%B2%AD%EC%9B%90%EC%82%BC%EA%B3%84%ED%83%95+%EB%8C%80%EB%8D%95%EA%B5%AC","블로그 보기")</f>
        <v>블로그 보기</v>
      </c>
      <c r="J76" s="5"/>
      <c r="K76" s="5"/>
      <c r="L76" s="4"/>
      <c r="M76" s="7">
        <v>46161</v>
      </c>
      <c r="N76" s="8">
        <v>35</v>
      </c>
      <c r="O76" s="8">
        <v>35</v>
      </c>
      <c r="P76" s="8">
        <v>118</v>
      </c>
      <c r="Q76" s="8">
        <v>1</v>
      </c>
      <c r="R76" s="8">
        <v>0</v>
      </c>
      <c r="S76" s="4" t="s">
        <v>300</v>
      </c>
      <c r="T76" s="9">
        <v>36.362847299999999</v>
      </c>
      <c r="U76" s="9">
        <v>127.42612630000001</v>
      </c>
    </row>
    <row r="77" spans="1:21" ht="32.1" customHeight="1">
      <c r="A77" s="5" t="s">
        <v>36</v>
      </c>
      <c r="B77" s="5" t="s">
        <v>9</v>
      </c>
      <c r="C77" s="4" t="s">
        <v>380</v>
      </c>
      <c r="D77" s="4" t="s">
        <v>381</v>
      </c>
      <c r="E77" s="6">
        <v>50</v>
      </c>
      <c r="F77" s="4" t="s">
        <v>331</v>
      </c>
      <c r="G77" s="4" t="s">
        <v>382</v>
      </c>
      <c r="H77" s="4" t="s">
        <v>383</v>
      </c>
      <c r="I77" s="5" t="str">
        <f>HYPERLINK("https://search.naver.com/search.naver?where=blog&amp;query=%EC%B2%AD%EC%B6%98%ED%85%8C%EB%9D%BC%EC%8A%A4+%EB%8C%80%EB%8D%95%EA%B5%AC","블로그 보기")</f>
        <v>블로그 보기</v>
      </c>
      <c r="J77" s="5" t="str">
        <f>HYPERLINK("http://instagram.com/cctrc2019","업체 보기")</f>
        <v>업체 보기</v>
      </c>
      <c r="K77" s="5"/>
      <c r="L77" s="4"/>
      <c r="M77" s="7">
        <v>46171</v>
      </c>
      <c r="N77" s="8">
        <v>20</v>
      </c>
      <c r="O77" s="8">
        <v>64</v>
      </c>
      <c r="P77" s="8">
        <v>161</v>
      </c>
      <c r="Q77" s="8">
        <v>1</v>
      </c>
      <c r="R77" s="8">
        <v>0</v>
      </c>
      <c r="S77" s="4" t="s">
        <v>134</v>
      </c>
      <c r="T77" s="9">
        <v>36.3547826</v>
      </c>
      <c r="U77" s="9">
        <v>127.44781209999999</v>
      </c>
    </row>
    <row r="78" spans="1:21" ht="32.1" customHeight="1">
      <c r="A78" s="5" t="s">
        <v>36</v>
      </c>
      <c r="B78" s="5" t="s">
        <v>9</v>
      </c>
      <c r="C78" s="4" t="s">
        <v>384</v>
      </c>
      <c r="D78" s="4" t="s">
        <v>125</v>
      </c>
      <c r="E78" s="6">
        <v>50</v>
      </c>
      <c r="F78" s="4" t="s">
        <v>385</v>
      </c>
      <c r="G78" s="4" t="s">
        <v>386</v>
      </c>
      <c r="H78" s="4" t="s">
        <v>387</v>
      </c>
      <c r="I78" s="5" t="str">
        <f>HYPERLINK("https://search.naver.com/search.naver?where=blog&amp;query=%ED%95%84%EC%A7%AC%EB%BD%95+%EB%8C%80%EB%8D%95%EA%B5%AC","블로그 보기")</f>
        <v>블로그 보기</v>
      </c>
      <c r="J78" s="5"/>
      <c r="K78" s="5"/>
      <c r="L78" s="4"/>
      <c r="M78" s="7">
        <v>46220</v>
      </c>
      <c r="N78" s="8">
        <v>26</v>
      </c>
      <c r="O78" s="8">
        <v>98</v>
      </c>
      <c r="P78" s="8">
        <v>172</v>
      </c>
      <c r="Q78" s="8">
        <v>1</v>
      </c>
      <c r="R78" s="8">
        <v>0</v>
      </c>
      <c r="S78" s="4" t="s">
        <v>229</v>
      </c>
      <c r="T78" s="9">
        <v>36.346407499999998</v>
      </c>
      <c r="U78" s="9">
        <v>127.4170266</v>
      </c>
    </row>
    <row r="79" spans="1:21" ht="32.1" customHeight="1">
      <c r="A79" s="5" t="s">
        <v>36</v>
      </c>
      <c r="B79" s="5" t="s">
        <v>9</v>
      </c>
      <c r="C79" s="4" t="s">
        <v>388</v>
      </c>
      <c r="D79" s="4" t="s">
        <v>125</v>
      </c>
      <c r="E79" s="6">
        <v>50</v>
      </c>
      <c r="F79" s="4" t="s">
        <v>389</v>
      </c>
      <c r="G79" s="4" t="s">
        <v>390</v>
      </c>
      <c r="H79" s="4" t="s">
        <v>391</v>
      </c>
      <c r="I79" s="5" t="str">
        <f>HYPERLINK("https://search.naver.com/search.naver?where=blog&amp;query=%ED%95%9C%EC%84%B1%EC%86%90%EC%A7%9C%EC%9E%A5+%EB%8C%80%EB%8D%95%EA%B5%AC","블로그 보기")</f>
        <v>블로그 보기</v>
      </c>
      <c r="J79" s="5"/>
      <c r="K79" s="5"/>
      <c r="L79" s="4"/>
      <c r="M79" s="7">
        <v>46220</v>
      </c>
      <c r="N79" s="8">
        <v>85</v>
      </c>
      <c r="O79" s="8">
        <v>52</v>
      </c>
      <c r="P79" s="8">
        <v>148</v>
      </c>
      <c r="Q79" s="8">
        <v>1</v>
      </c>
      <c r="R79" s="8">
        <v>0</v>
      </c>
      <c r="S79" s="4" t="s">
        <v>129</v>
      </c>
      <c r="T79" s="9">
        <v>36.433695700000001</v>
      </c>
      <c r="U79" s="9">
        <v>127.42356909999999</v>
      </c>
    </row>
    <row r="80" spans="1:21" ht="32.1" customHeight="1">
      <c r="A80" s="5" t="s">
        <v>36</v>
      </c>
      <c r="B80" s="5" t="s">
        <v>9</v>
      </c>
      <c r="C80" s="4" t="s">
        <v>392</v>
      </c>
      <c r="D80" s="4" t="s">
        <v>44</v>
      </c>
      <c r="E80" s="6">
        <v>50</v>
      </c>
      <c r="F80" s="4" t="s">
        <v>66</v>
      </c>
      <c r="G80" s="4" t="s">
        <v>393</v>
      </c>
      <c r="H80" s="4" t="s">
        <v>394</v>
      </c>
      <c r="I80" s="5" t="str">
        <f>HYPERLINK("https://search.naver.com/search.naver?where=blog&amp;query=%ED%99%A9%ED%95%B4%EB%A9%B4%EC%98%A5+%EB%8C%80%EB%8D%95%EA%B5%AC","블로그 보기")</f>
        <v>블로그 보기</v>
      </c>
      <c r="J80" s="5"/>
      <c r="K80" s="5"/>
      <c r="L80" s="4"/>
      <c r="M80" s="7">
        <v>46220</v>
      </c>
      <c r="N80" s="8">
        <v>76</v>
      </c>
      <c r="O80" s="8">
        <v>88</v>
      </c>
      <c r="P80" s="8">
        <v>180</v>
      </c>
      <c r="Q80" s="8">
        <v>1</v>
      </c>
      <c r="R80" s="8">
        <v>0</v>
      </c>
      <c r="S80" s="4" t="s">
        <v>174</v>
      </c>
      <c r="T80" s="9">
        <v>36.347039799999997</v>
      </c>
      <c r="U80" s="9">
        <v>127.41438290000001</v>
      </c>
    </row>
    <row r="81" spans="1:21" ht="32.1" customHeight="1">
      <c r="A81" s="5" t="s">
        <v>36</v>
      </c>
      <c r="B81" s="5" t="s">
        <v>9</v>
      </c>
      <c r="C81" s="4" t="s">
        <v>395</v>
      </c>
      <c r="D81" s="4" t="s">
        <v>65</v>
      </c>
      <c r="E81" s="6">
        <v>50</v>
      </c>
      <c r="F81" s="4" t="s">
        <v>396</v>
      </c>
      <c r="G81" s="4" t="s">
        <v>397</v>
      </c>
      <c r="H81" s="4" t="s">
        <v>398</v>
      </c>
      <c r="I81" s="5" t="str">
        <f>HYPERLINK("https://search.naver.com/search.naver?where=blog&amp;query=%ED%9A%8C%ED%8F%AC+%EB%8C%80%EB%8D%95%EA%B5%AC","블로그 보기")</f>
        <v>블로그 보기</v>
      </c>
      <c r="J81" s="5"/>
      <c r="K81" s="5"/>
      <c r="L81" s="4"/>
      <c r="M81" s="7">
        <v>46213</v>
      </c>
      <c r="N81" s="8">
        <v>46</v>
      </c>
      <c r="O81" s="8">
        <v>89</v>
      </c>
      <c r="P81" s="8">
        <v>178</v>
      </c>
      <c r="Q81" s="8">
        <v>1</v>
      </c>
      <c r="R81" s="8">
        <v>0</v>
      </c>
      <c r="S81" s="4" t="s">
        <v>188</v>
      </c>
      <c r="T81" s="9">
        <v>36.364629499999999</v>
      </c>
      <c r="U81" s="9">
        <v>127.43757290000001</v>
      </c>
    </row>
    <row r="82" spans="1:21" ht="32.1" customHeight="1">
      <c r="A82" s="5" t="s">
        <v>36</v>
      </c>
      <c r="B82" s="5" t="s">
        <v>9</v>
      </c>
      <c r="C82" s="4" t="s">
        <v>399</v>
      </c>
      <c r="D82" s="4" t="s">
        <v>176</v>
      </c>
      <c r="E82" s="6">
        <v>49</v>
      </c>
      <c r="F82" s="4" t="s">
        <v>400</v>
      </c>
      <c r="G82" s="4" t="s">
        <v>401</v>
      </c>
      <c r="H82" s="4" t="s">
        <v>402</v>
      </c>
      <c r="I82" s="5" t="str">
        <f>HYPERLINK("https://search.naver.com/search.naver?where=blog&amp;query=%EA%B0%80%EB%A7%88%EC%86%A5%ED%95%B4%EC%9E%A5%EA%B5%AD+%EB%8C%80%EB%8D%95%EA%B5%AC","블로그 보기")</f>
        <v>블로그 보기</v>
      </c>
      <c r="J82" s="5"/>
      <c r="K82" s="5"/>
      <c r="L82" s="4"/>
      <c r="M82" s="7">
        <v>46193</v>
      </c>
      <c r="N82" s="8">
        <v>21</v>
      </c>
      <c r="O82" s="8">
        <v>83</v>
      </c>
      <c r="P82" s="8">
        <v>95</v>
      </c>
      <c r="Q82" s="8">
        <v>1</v>
      </c>
      <c r="R82" s="8">
        <v>0</v>
      </c>
      <c r="S82" s="4" t="s">
        <v>148</v>
      </c>
      <c r="T82" s="9">
        <v>36.4296595</v>
      </c>
      <c r="U82" s="9">
        <v>127.41169290000001</v>
      </c>
    </row>
    <row r="83" spans="1:21" ht="32.1" customHeight="1">
      <c r="A83" s="5" t="s">
        <v>36</v>
      </c>
      <c r="B83" s="5" t="s">
        <v>9</v>
      </c>
      <c r="C83" s="4" t="s">
        <v>403</v>
      </c>
      <c r="D83" s="4" t="s">
        <v>71</v>
      </c>
      <c r="E83" s="6">
        <v>49</v>
      </c>
      <c r="F83" s="4" t="s">
        <v>404</v>
      </c>
      <c r="G83" s="4" t="s">
        <v>405</v>
      </c>
      <c r="H83" s="4" t="s">
        <v>406</v>
      </c>
      <c r="I83" s="5" t="str">
        <f>HYPERLINK("https://search.naver.com/search.naver?where=blog&amp;query=%EA%B9%80%EA%B4%80%EC%8B%9D%EC%B6%94%EC%96%B4%EB%AA%85%EC%9E%A5+%EB%8C%80%EB%8D%95%EA%B5%AC","블로그 보기")</f>
        <v>블로그 보기</v>
      </c>
      <c r="J83" s="5"/>
      <c r="K83" s="5"/>
      <c r="L83" s="4"/>
      <c r="M83" s="7">
        <v>46221</v>
      </c>
      <c r="N83" s="8">
        <v>45</v>
      </c>
      <c r="O83" s="8">
        <v>40</v>
      </c>
      <c r="P83" s="8">
        <v>58</v>
      </c>
      <c r="Q83" s="8">
        <v>1</v>
      </c>
      <c r="R83" s="8">
        <v>0</v>
      </c>
      <c r="S83" s="4" t="s">
        <v>407</v>
      </c>
      <c r="T83" s="9">
        <v>36.424750199999998</v>
      </c>
      <c r="U83" s="9">
        <v>127.42028139999999</v>
      </c>
    </row>
    <row r="84" spans="1:21" ht="32.1" customHeight="1">
      <c r="A84" s="5" t="s">
        <v>36</v>
      </c>
      <c r="B84" s="5" t="s">
        <v>9</v>
      </c>
      <c r="C84" s="4" t="s">
        <v>408</v>
      </c>
      <c r="D84" s="4" t="s">
        <v>96</v>
      </c>
      <c r="E84" s="6">
        <v>49</v>
      </c>
      <c r="F84" s="4" t="s">
        <v>409</v>
      </c>
      <c r="G84" s="4" t="s">
        <v>410</v>
      </c>
      <c r="H84" s="4" t="s">
        <v>411</v>
      </c>
      <c r="I84" s="5" t="str">
        <f>HYPERLINK("https://search.naver.com/search.naver?where=blog&amp;query=%EB%8C%80%EC%B2%AD%ED%95%98%EB%85%B9+%EC%8B%A0%ED%83%84%EC%A7%84%EC%A0%90+%EC%8B%A0%ED%83%84%EC%A7%84%EB%8F%99","블로그 보기")</f>
        <v>블로그 보기</v>
      </c>
      <c r="J84" s="5"/>
      <c r="K84" s="5"/>
      <c r="L84" s="4"/>
      <c r="M84" s="7">
        <v>46049</v>
      </c>
      <c r="N84" s="8">
        <v>43</v>
      </c>
      <c r="O84" s="8">
        <v>94</v>
      </c>
      <c r="P84" s="8">
        <v>95</v>
      </c>
      <c r="Q84" s="8">
        <v>1</v>
      </c>
      <c r="R84" s="8">
        <v>0</v>
      </c>
      <c r="S84" s="4" t="s">
        <v>412</v>
      </c>
      <c r="T84" s="9">
        <v>36.451011200000003</v>
      </c>
      <c r="U84" s="9">
        <v>127.4295254</v>
      </c>
    </row>
    <row r="85" spans="1:21" ht="32.1" customHeight="1">
      <c r="A85" s="5" t="s">
        <v>36</v>
      </c>
      <c r="B85" s="5" t="s">
        <v>9</v>
      </c>
      <c r="C85" s="4" t="s">
        <v>413</v>
      </c>
      <c r="D85" s="4" t="s">
        <v>71</v>
      </c>
      <c r="E85" s="6">
        <v>49</v>
      </c>
      <c r="F85" s="4" t="s">
        <v>414</v>
      </c>
      <c r="G85" s="4" t="s">
        <v>415</v>
      </c>
      <c r="H85" s="4" t="s">
        <v>416</v>
      </c>
      <c r="I85" s="5" t="str">
        <f>HYPERLINK("https://search.naver.com/search.naver?where=blog&amp;query=%EB%AF%B8%EA%B0%80%ED%95%9C%EC%9A%B0%EC%86%8C%EB%A8%B8%EB%A6%AC%EA%B5%AD%EB%B0%A5+%EB%8C%80%EB%8D%95%EA%B5%AC","블로그 보기")</f>
        <v>블로그 보기</v>
      </c>
      <c r="J85" s="5" t="str">
        <f>HYPERLINK("http://0427109190.tshome.co.kr/","업체 보기")</f>
        <v>업체 보기</v>
      </c>
      <c r="K85" s="5"/>
      <c r="L85" s="4"/>
      <c r="M85" s="7">
        <v>46195</v>
      </c>
      <c r="N85" s="8">
        <v>59</v>
      </c>
      <c r="O85" s="8">
        <v>66</v>
      </c>
      <c r="P85" s="8">
        <v>71</v>
      </c>
      <c r="Q85" s="8">
        <v>1</v>
      </c>
      <c r="R85" s="8">
        <v>0</v>
      </c>
      <c r="S85" s="4" t="s">
        <v>148</v>
      </c>
      <c r="T85" s="9">
        <v>36.444302200000003</v>
      </c>
      <c r="U85" s="9">
        <v>127.41061120000001</v>
      </c>
    </row>
    <row r="86" spans="1:21" ht="32.1" customHeight="1">
      <c r="A86" s="5" t="s">
        <v>36</v>
      </c>
      <c r="B86" s="5" t="s">
        <v>9</v>
      </c>
      <c r="C86" s="4" t="s">
        <v>417</v>
      </c>
      <c r="D86" s="4" t="s">
        <v>136</v>
      </c>
      <c r="E86" s="6">
        <v>49</v>
      </c>
      <c r="F86" s="4" t="s">
        <v>363</v>
      </c>
      <c r="G86" s="4" t="s">
        <v>418</v>
      </c>
      <c r="H86" s="4" t="s">
        <v>419</v>
      </c>
      <c r="I86" s="5" t="str">
        <f>HYPERLINK("https://search.naver.com/search.naver?where=blog&amp;query=%EC%83%A4%EB%B8%8C%EC%8C%88%EC%A3%BC%EB%A8%B8%EB%8B%88+%EC%86%A1%EC%B4%8C%EC%A0%90+%EB%8C%80%EB%8D%95%EA%B5%AC","블로그 보기")</f>
        <v>블로그 보기</v>
      </c>
      <c r="J86" s="5"/>
      <c r="K86" s="5"/>
      <c r="L86" s="4"/>
      <c r="M86" s="7">
        <v>46222</v>
      </c>
      <c r="N86" s="8">
        <v>48</v>
      </c>
      <c r="O86" s="8">
        <v>51</v>
      </c>
      <c r="P86" s="8">
        <v>51</v>
      </c>
      <c r="Q86" s="8">
        <v>1</v>
      </c>
      <c r="R86" s="8">
        <v>0</v>
      </c>
      <c r="S86" s="4" t="s">
        <v>139</v>
      </c>
      <c r="T86" s="9">
        <v>36.363407799999997</v>
      </c>
      <c r="U86" s="9">
        <v>127.440003</v>
      </c>
    </row>
    <row r="87" spans="1:21" ht="32.1" customHeight="1">
      <c r="A87" s="5" t="s">
        <v>36</v>
      </c>
      <c r="B87" s="5" t="s">
        <v>9</v>
      </c>
      <c r="C87" s="4" t="s">
        <v>420</v>
      </c>
      <c r="D87" s="4" t="s">
        <v>71</v>
      </c>
      <c r="E87" s="6">
        <v>49</v>
      </c>
      <c r="F87" s="4" t="s">
        <v>421</v>
      </c>
      <c r="G87" s="4" t="s">
        <v>422</v>
      </c>
      <c r="H87" s="4" t="s">
        <v>423</v>
      </c>
      <c r="I87" s="5" t="str">
        <f>HYPERLINK("https://search.naver.com/search.naver?where=blog&amp;query=%EC%9C%A4%EC%9D%B4%EB%84%A4%EC%A7%91%EB%B0%A5+%EB%8C%80%EB%8D%95%EA%B5%AC","블로그 보기")</f>
        <v>블로그 보기</v>
      </c>
      <c r="J87" s="5"/>
      <c r="K87" s="5"/>
      <c r="L87" s="4"/>
      <c r="M87" s="7">
        <v>46210</v>
      </c>
      <c r="N87" s="8">
        <v>4</v>
      </c>
      <c r="O87" s="8">
        <v>33</v>
      </c>
      <c r="P87" s="8">
        <v>51</v>
      </c>
      <c r="Q87" s="8">
        <v>2</v>
      </c>
      <c r="R87" s="8">
        <v>1</v>
      </c>
      <c r="S87" s="4" t="s">
        <v>134</v>
      </c>
      <c r="T87" s="9">
        <v>36.364415899999997</v>
      </c>
      <c r="U87" s="9">
        <v>127.43144789999999</v>
      </c>
    </row>
    <row r="88" spans="1:21" ht="32.1" customHeight="1">
      <c r="A88" s="5" t="s">
        <v>36</v>
      </c>
      <c r="B88" s="5" t="s">
        <v>9</v>
      </c>
      <c r="C88" s="4" t="s">
        <v>424</v>
      </c>
      <c r="D88" s="4" t="s">
        <v>96</v>
      </c>
      <c r="E88" s="6">
        <v>49</v>
      </c>
      <c r="F88" s="4" t="s">
        <v>331</v>
      </c>
      <c r="G88" s="4" t="s">
        <v>425</v>
      </c>
      <c r="H88" s="4" t="s">
        <v>426</v>
      </c>
      <c r="I88" s="5" t="str">
        <f>HYPERLINK("https://search.naver.com/search.naver?where=blog&amp;query=%ED%95%98%EB%A5%B4%EB%B0%A9%EB%8C%80%ED%8C%A8%EC%82%BC%EA%B2%B9+%EB%8C%80%EB%8D%95%EA%B5%AC","블로그 보기")</f>
        <v>블로그 보기</v>
      </c>
      <c r="J88" s="5"/>
      <c r="K88" s="5"/>
      <c r="L88" s="4"/>
      <c r="M88" s="7">
        <v>46218</v>
      </c>
      <c r="N88" s="8">
        <v>20</v>
      </c>
      <c r="O88" s="8">
        <v>67</v>
      </c>
      <c r="P88" s="8">
        <v>76</v>
      </c>
      <c r="Q88" s="8">
        <v>1</v>
      </c>
      <c r="R88" s="8">
        <v>0</v>
      </c>
      <c r="S88" s="4" t="s">
        <v>412</v>
      </c>
      <c r="T88" s="9">
        <v>36.445590299999999</v>
      </c>
      <c r="U88" s="9">
        <v>127.4257581</v>
      </c>
    </row>
    <row r="89" spans="1:21" ht="32.1" customHeight="1">
      <c r="A89" s="5" t="s">
        <v>36</v>
      </c>
      <c r="B89" s="5" t="s">
        <v>9</v>
      </c>
      <c r="C89" s="4" t="s">
        <v>427</v>
      </c>
      <c r="D89" s="4" t="s">
        <v>71</v>
      </c>
      <c r="E89" s="6">
        <v>49</v>
      </c>
      <c r="F89" s="4" t="s">
        <v>396</v>
      </c>
      <c r="G89" s="4" t="s">
        <v>428</v>
      </c>
      <c r="H89" s="4" t="s">
        <v>429</v>
      </c>
      <c r="I89" s="5" t="str">
        <f>HYPERLINK("https://search.naver.com/search.naver?where=blog&amp;query=%ED%95%9C%EC%96%91%EA%B3%A0%EA%B9%83%EC%A7%91+%EC%8B%A0%ED%83%84%EC%A7%84%EC%A0%90+%EB%8C%80%EB%8D%95%EA%B5%AC","블로그 보기")</f>
        <v>블로그 보기</v>
      </c>
      <c r="J89" s="5" t="str">
        <f>HYPERLINK("https://www.instagram.com/hanyang_sintan","업체 보기")</f>
        <v>업체 보기</v>
      </c>
      <c r="K89" s="5"/>
      <c r="L89" s="4"/>
      <c r="M89" s="7">
        <v>46220</v>
      </c>
      <c r="N89" s="8">
        <v>46</v>
      </c>
      <c r="O89" s="8">
        <v>22</v>
      </c>
      <c r="P89" s="8">
        <v>74</v>
      </c>
      <c r="Q89" s="8">
        <v>1</v>
      </c>
      <c r="R89" s="8">
        <v>0</v>
      </c>
      <c r="S89" s="4" t="s">
        <v>278</v>
      </c>
      <c r="T89" s="9">
        <v>36.451866299999999</v>
      </c>
      <c r="U89" s="9">
        <v>127.4241602</v>
      </c>
    </row>
    <row r="90" spans="1:21" ht="32.1" customHeight="1">
      <c r="A90" s="5" t="s">
        <v>36</v>
      </c>
      <c r="B90" s="5" t="s">
        <v>9</v>
      </c>
      <c r="C90" s="4" t="s">
        <v>430</v>
      </c>
      <c r="D90" s="4" t="s">
        <v>65</v>
      </c>
      <c r="E90" s="6">
        <v>49</v>
      </c>
      <c r="F90" s="4" t="s">
        <v>165</v>
      </c>
      <c r="G90" s="4" t="s">
        <v>431</v>
      </c>
      <c r="H90" s="4" t="s">
        <v>432</v>
      </c>
      <c r="I90" s="5" t="str">
        <f>HYPERLINK("https://search.naver.com/search.naver?where=blog&amp;query=%ED%98%95%EC%A0%9C%EC%88%98%EC%82%B0+%EB%8C%80%EB%8D%95%EA%B5%AC","블로그 보기")</f>
        <v>블로그 보기</v>
      </c>
      <c r="J90" s="5"/>
      <c r="K90" s="5"/>
      <c r="L90" s="4"/>
      <c r="M90" s="7">
        <v>46191</v>
      </c>
      <c r="N90" s="8">
        <v>10</v>
      </c>
      <c r="O90" s="8">
        <v>75</v>
      </c>
      <c r="P90" s="8">
        <v>78</v>
      </c>
      <c r="Q90" s="8">
        <v>1</v>
      </c>
      <c r="R90" s="8">
        <v>0</v>
      </c>
      <c r="S90" s="4" t="s">
        <v>188</v>
      </c>
      <c r="T90" s="9">
        <v>36.365735999999998</v>
      </c>
      <c r="U90" s="9">
        <v>127.42653749999999</v>
      </c>
    </row>
    <row r="91" spans="1:21" ht="32.1" customHeight="1">
      <c r="A91" s="5" t="s">
        <v>36</v>
      </c>
      <c r="B91" s="5" t="s">
        <v>9</v>
      </c>
      <c r="C91" s="4" t="s">
        <v>433</v>
      </c>
      <c r="D91" s="4" t="s">
        <v>96</v>
      </c>
      <c r="E91" s="6">
        <v>49</v>
      </c>
      <c r="F91" s="4" t="s">
        <v>434</v>
      </c>
      <c r="G91" s="4" t="s">
        <v>435</v>
      </c>
      <c r="H91" s="4" t="s">
        <v>436</v>
      </c>
      <c r="I91" s="5" t="str">
        <f>HYPERLINK("https://search.naver.com/search.naver?where=blog&amp;query=%ED%98%B8%EB%8F%88+%EB%8C%80%EB%8D%95%EA%B5%AC","블로그 보기")</f>
        <v>블로그 보기</v>
      </c>
      <c r="J91" s="5"/>
      <c r="K91" s="5"/>
      <c r="L91" s="4"/>
      <c r="M91" s="7">
        <v>46223</v>
      </c>
      <c r="N91" s="8">
        <v>38</v>
      </c>
      <c r="O91" s="8">
        <v>61</v>
      </c>
      <c r="P91" s="8">
        <v>65</v>
      </c>
      <c r="Q91" s="8">
        <v>1</v>
      </c>
      <c r="R91" s="8">
        <v>0</v>
      </c>
      <c r="S91" s="4" t="s">
        <v>412</v>
      </c>
      <c r="T91" s="9">
        <v>36.452559899999997</v>
      </c>
      <c r="U91" s="9">
        <v>127.4340876</v>
      </c>
    </row>
    <row r="92" spans="1:21" ht="32.1" customHeight="1">
      <c r="A92" s="5" t="s">
        <v>36</v>
      </c>
      <c r="B92" s="5" t="s">
        <v>9</v>
      </c>
      <c r="C92" s="4" t="s">
        <v>437</v>
      </c>
      <c r="D92" s="4" t="s">
        <v>438</v>
      </c>
      <c r="E92" s="6">
        <v>48</v>
      </c>
      <c r="F92" s="4" t="s">
        <v>439</v>
      </c>
      <c r="G92" s="4" t="s">
        <v>440</v>
      </c>
      <c r="H92" s="4" t="s">
        <v>441</v>
      </c>
      <c r="I92" s="5" t="str">
        <f>HYPERLINK("https://search.naver.com/search.naver?where=blog&amp;query=%EB%9D%BC%EB%A9%98%EC%9C%A0%EB%8B%88%EB%B2%84%EC%8A%A4+%EB%8C%80%EB%8D%95%EA%B5%AC","블로그 보기")</f>
        <v>블로그 보기</v>
      </c>
      <c r="J92" s="5" t="str">
        <f>HYPERLINK("https://www.instagram.com/ramen._.universe?igshid=MmIzYWVlNDQ5Yg==","업체 보기")</f>
        <v>업체 보기</v>
      </c>
      <c r="K92" s="5"/>
      <c r="L92" s="4"/>
      <c r="M92" s="7">
        <v>46191</v>
      </c>
      <c r="N92" s="8">
        <v>18</v>
      </c>
      <c r="O92" s="8">
        <v>37</v>
      </c>
      <c r="P92" s="8">
        <v>37</v>
      </c>
      <c r="Q92" s="8">
        <v>1</v>
      </c>
      <c r="R92" s="8">
        <v>0</v>
      </c>
      <c r="S92" s="4" t="s">
        <v>139</v>
      </c>
      <c r="T92" s="9">
        <v>36.351243400000001</v>
      </c>
      <c r="U92" s="9">
        <v>127.4238545</v>
      </c>
    </row>
    <row r="93" spans="1:21" ht="32.1" customHeight="1">
      <c r="A93" s="5" t="s">
        <v>36</v>
      </c>
      <c r="B93" s="5" t="s">
        <v>9</v>
      </c>
      <c r="C93" s="4" t="s">
        <v>442</v>
      </c>
      <c r="D93" s="4" t="s">
        <v>125</v>
      </c>
      <c r="E93" s="6">
        <v>48</v>
      </c>
      <c r="F93" s="4" t="s">
        <v>443</v>
      </c>
      <c r="G93" s="4" t="s">
        <v>444</v>
      </c>
      <c r="H93" s="4" t="s">
        <v>445</v>
      </c>
      <c r="I93" s="5" t="str">
        <f>HYPERLINK("https://search.naver.com/search.naver?where=blog&amp;query=%EB%A6%BC%EC%8B%9D%EB%8B%B9+%EB%8C%80%EB%8D%95%EA%B5%AC","블로그 보기")</f>
        <v>블로그 보기</v>
      </c>
      <c r="J93" s="5" t="str">
        <f>HYPERLINK("https://www.instagram.com/lim_lim6262024/","업체 보기")</f>
        <v>업체 보기</v>
      </c>
      <c r="K93" s="5"/>
      <c r="L93" s="4"/>
      <c r="M93" s="7">
        <v>46209</v>
      </c>
      <c r="N93" s="8">
        <v>8</v>
      </c>
      <c r="O93" s="8">
        <v>25</v>
      </c>
      <c r="P93" s="8">
        <v>27</v>
      </c>
      <c r="Q93" s="8">
        <v>1</v>
      </c>
      <c r="R93" s="8">
        <v>0</v>
      </c>
      <c r="S93" s="4" t="s">
        <v>348</v>
      </c>
      <c r="T93" s="9">
        <v>36.355412100000002</v>
      </c>
      <c r="U93" s="9">
        <v>127.4459923</v>
      </c>
    </row>
    <row r="94" spans="1:21" ht="32.1" customHeight="1">
      <c r="A94" s="5" t="s">
        <v>36</v>
      </c>
      <c r="B94" s="5" t="s">
        <v>9</v>
      </c>
      <c r="C94" s="4" t="s">
        <v>446</v>
      </c>
      <c r="D94" s="4" t="s">
        <v>136</v>
      </c>
      <c r="E94" s="6">
        <v>48</v>
      </c>
      <c r="F94" s="4" t="s">
        <v>447</v>
      </c>
      <c r="G94" s="4" t="s">
        <v>448</v>
      </c>
      <c r="H94" s="4" t="s">
        <v>449</v>
      </c>
      <c r="I94" s="5" t="str">
        <f>HYPERLINK("https://search.naver.com/search.naver?where=blog&amp;query=%EC%83%A4%EB%B8%8C%EC%97%B0%EB%A6%AC%EC%A7%80+%EC%8B%A0%ED%83%84%EC%A7%84%EC%A0%90+%EB%8C%80%EB%8D%95%EA%B5%AC","블로그 보기")</f>
        <v>블로그 보기</v>
      </c>
      <c r="J94" s="5"/>
      <c r="K94" s="5"/>
      <c r="L94" s="4"/>
      <c r="M94" s="7">
        <v>46171</v>
      </c>
      <c r="N94" s="8">
        <v>24</v>
      </c>
      <c r="O94" s="8">
        <v>23</v>
      </c>
      <c r="P94" s="8">
        <v>38</v>
      </c>
      <c r="Q94" s="8">
        <v>1</v>
      </c>
      <c r="R94" s="8">
        <v>0</v>
      </c>
      <c r="S94" s="4" t="s">
        <v>224</v>
      </c>
      <c r="T94" s="9">
        <v>36.451281700000003</v>
      </c>
      <c r="U94" s="9">
        <v>127.4302041</v>
      </c>
    </row>
    <row r="95" spans="1:21" ht="32.1" customHeight="1">
      <c r="A95" s="5" t="s">
        <v>36</v>
      </c>
      <c r="B95" s="5" t="s">
        <v>9</v>
      </c>
      <c r="C95" s="4" t="s">
        <v>450</v>
      </c>
      <c r="D95" s="4" t="s">
        <v>125</v>
      </c>
      <c r="E95" s="6">
        <v>48</v>
      </c>
      <c r="F95" s="4" t="s">
        <v>290</v>
      </c>
      <c r="G95" s="4" t="s">
        <v>451</v>
      </c>
      <c r="H95" s="4" t="s">
        <v>452</v>
      </c>
      <c r="I95" s="5" t="str">
        <f>HYPERLINK("https://search.naver.com/search.naver?where=blog&amp;query=%EC%A4%80%EC%A7%9C%EC%9E%A5%EC%98%A4%EC%A0%95%EC%A0%90+%EB%8C%80%EB%8D%95%EA%B5%AC","블로그 보기")</f>
        <v>블로그 보기</v>
      </c>
      <c r="J95" s="5"/>
      <c r="K95" s="5"/>
      <c r="L95" s="4"/>
      <c r="M95" s="7">
        <v>46171</v>
      </c>
      <c r="N95" s="8">
        <v>12</v>
      </c>
      <c r="O95" s="8">
        <v>34</v>
      </c>
      <c r="P95" s="8">
        <v>34</v>
      </c>
      <c r="Q95" s="8">
        <v>1</v>
      </c>
      <c r="R95" s="8">
        <v>0</v>
      </c>
      <c r="S95" s="4" t="s">
        <v>229</v>
      </c>
      <c r="T95" s="9">
        <v>36.353996299999999</v>
      </c>
      <c r="U95" s="9">
        <v>127.4105253</v>
      </c>
    </row>
    <row r="96" spans="1:21" ht="32.1" customHeight="1">
      <c r="A96" s="5" t="s">
        <v>36</v>
      </c>
      <c r="B96" s="5" t="s">
        <v>9</v>
      </c>
      <c r="C96" s="4" t="s">
        <v>453</v>
      </c>
      <c r="D96" s="4" t="s">
        <v>354</v>
      </c>
      <c r="E96" s="6">
        <v>48</v>
      </c>
      <c r="F96" s="4" t="s">
        <v>297</v>
      </c>
      <c r="G96" s="4" t="s">
        <v>454</v>
      </c>
      <c r="H96" s="4" t="s">
        <v>455</v>
      </c>
      <c r="I96" s="5" t="str">
        <f>HYPERLINK("https://search.naver.com/search.naver?where=blog&amp;query=%EC%B9%B4%EB%82%98%EC%9A%B0+%EB%8C%80%EB%8D%95%EA%B5%AC","블로그 보기")</f>
        <v>블로그 보기</v>
      </c>
      <c r="J96" s="5" t="str">
        <f>HYPERLINK("https://www.instagram.com/kanau4745?igsh=eXN2N3kxb3Z6amcw&amp;utm_source=qr","업체 보기")</f>
        <v>업체 보기</v>
      </c>
      <c r="K96" s="5"/>
      <c r="L96" s="4"/>
      <c r="M96" s="7">
        <v>46132</v>
      </c>
      <c r="N96" s="8">
        <v>28</v>
      </c>
      <c r="O96" s="8">
        <v>29</v>
      </c>
      <c r="P96" s="8">
        <v>29</v>
      </c>
      <c r="Q96" s="8">
        <v>1</v>
      </c>
      <c r="R96" s="8">
        <v>0</v>
      </c>
      <c r="S96" s="4" t="s">
        <v>139</v>
      </c>
      <c r="T96" s="9">
        <v>36.363777300000002</v>
      </c>
      <c r="U96" s="9">
        <v>127.4393654</v>
      </c>
    </row>
    <row r="97" spans="1:21" ht="32.1" customHeight="1">
      <c r="A97" s="5" t="s">
        <v>36</v>
      </c>
      <c r="B97" s="5" t="s">
        <v>9</v>
      </c>
      <c r="C97" s="4" t="s">
        <v>456</v>
      </c>
      <c r="D97" s="4" t="s">
        <v>457</v>
      </c>
      <c r="E97" s="6">
        <v>47</v>
      </c>
      <c r="F97" s="4" t="s">
        <v>443</v>
      </c>
      <c r="G97" s="4" t="s">
        <v>458</v>
      </c>
      <c r="H97" s="4" t="s">
        <v>459</v>
      </c>
      <c r="I97" s="5" t="str">
        <f>HYPERLINK("https://search.naver.com/search.naver?where=blog&amp;query=%EC%9D%B4%ED%83%80+%EC%8B%A0%ED%83%84%EC%A7%84%EB%8F%99","블로그 보기")</f>
        <v>블로그 보기</v>
      </c>
      <c r="J97" s="5" t="str">
        <f>HYPERLINK("https://www.instagram.com/ita_dakimasss","업체 보기")</f>
        <v>업체 보기</v>
      </c>
      <c r="K97" s="5"/>
      <c r="L97" s="4"/>
      <c r="M97" s="7">
        <v>46133</v>
      </c>
      <c r="N97" s="8">
        <v>8</v>
      </c>
      <c r="O97" s="8">
        <v>11</v>
      </c>
      <c r="P97" s="8">
        <v>15</v>
      </c>
      <c r="Q97" s="8">
        <v>1</v>
      </c>
      <c r="R97" s="8">
        <v>0</v>
      </c>
      <c r="S97" s="4" t="s">
        <v>224</v>
      </c>
      <c r="T97" s="9">
        <v>36.448090999999998</v>
      </c>
      <c r="U97" s="9">
        <v>127.43449769999999</v>
      </c>
    </row>
    <row r="98" spans="1:21" ht="32.1" customHeight="1">
      <c r="A98" s="5" t="s">
        <v>36</v>
      </c>
      <c r="B98" s="5" t="s">
        <v>9</v>
      </c>
      <c r="C98" s="4" t="s">
        <v>460</v>
      </c>
      <c r="D98" s="4" t="s">
        <v>71</v>
      </c>
      <c r="E98" s="6">
        <v>47</v>
      </c>
      <c r="F98" s="4" t="s">
        <v>331</v>
      </c>
      <c r="G98" s="4" t="s">
        <v>461</v>
      </c>
      <c r="H98" s="4" t="s">
        <v>462</v>
      </c>
      <c r="I98" s="5" t="str">
        <f>HYPERLINK("https://search.naver.com/search.naver?where=blog&amp;query=%EC%B2%AD%EB%8B%B4%ED%96%A5+%EB%8C%80%EB%8D%95%EA%B5%AC","블로그 보기")</f>
        <v>블로그 보기</v>
      </c>
      <c r="J98" s="5"/>
      <c r="K98" s="5"/>
      <c r="L98" s="4"/>
      <c r="M98" s="7">
        <v>46221</v>
      </c>
      <c r="N98" s="8">
        <v>20</v>
      </c>
      <c r="O98" s="8">
        <v>18</v>
      </c>
      <c r="P98" s="8">
        <v>20</v>
      </c>
      <c r="Q98" s="8">
        <v>1</v>
      </c>
      <c r="R98" s="8">
        <v>0</v>
      </c>
      <c r="S98" s="4" t="s">
        <v>218</v>
      </c>
      <c r="T98" s="9">
        <v>36.355280499999999</v>
      </c>
      <c r="U98" s="9">
        <v>127.4437714</v>
      </c>
    </row>
    <row r="99" spans="1:21" ht="32.1" customHeight="1">
      <c r="A99" s="5" t="s">
        <v>36</v>
      </c>
      <c r="B99" s="5" t="s">
        <v>9</v>
      </c>
      <c r="C99" s="4" t="s">
        <v>463</v>
      </c>
      <c r="D99" s="4" t="s">
        <v>125</v>
      </c>
      <c r="E99" s="6">
        <v>47</v>
      </c>
      <c r="F99" s="4" t="s">
        <v>290</v>
      </c>
      <c r="G99" s="4" t="s">
        <v>464</v>
      </c>
      <c r="H99" s="4" t="s">
        <v>465</v>
      </c>
      <c r="I99" s="5" t="str">
        <f>HYPERLINK("https://search.naver.com/search.naver?where=blog&amp;query=%ED%99%94%EB%8F%84%EC%8B%9D+%EB%8C%80%EB%8D%95%EA%B5%AC","블로그 보기")</f>
        <v>블로그 보기</v>
      </c>
      <c r="J99" s="5" t="str">
        <f>HYPERLINK("https://www.instagram.com/hwadosik_daejeon?igsh=a2M4dDZ1OW4zcTBy&amp;utm_source=qr","업체 보기")</f>
        <v>업체 보기</v>
      </c>
      <c r="K99" s="5"/>
      <c r="L99" s="4"/>
      <c r="M99" s="7">
        <v>46215</v>
      </c>
      <c r="N99" s="8">
        <v>12</v>
      </c>
      <c r="O99" s="8">
        <v>17</v>
      </c>
      <c r="P99" s="8">
        <v>18</v>
      </c>
      <c r="Q99" s="8">
        <v>1</v>
      </c>
      <c r="R99" s="8">
        <v>0</v>
      </c>
      <c r="S99" s="4" t="s">
        <v>229</v>
      </c>
      <c r="T99" s="9">
        <v>36.3547583</v>
      </c>
      <c r="U99" s="9">
        <v>127.41390130000001</v>
      </c>
    </row>
    <row r="100" spans="1:21" ht="32.1" customHeight="1">
      <c r="A100" s="5" t="s">
        <v>36</v>
      </c>
      <c r="B100" s="5" t="s">
        <v>9</v>
      </c>
      <c r="C100" s="4" t="s">
        <v>466</v>
      </c>
      <c r="D100" s="4" t="s">
        <v>231</v>
      </c>
      <c r="E100" s="6">
        <v>45</v>
      </c>
      <c r="F100" s="4" t="s">
        <v>467</v>
      </c>
      <c r="G100" s="4" t="s">
        <v>468</v>
      </c>
      <c r="H100" s="4" t="s">
        <v>469</v>
      </c>
      <c r="I100" s="5" t="str">
        <f>HYPERLINK("https://search.naver.com/search.naver?where=blog&amp;query=%EB%A7%9B%EC%9E%88%EB%8A%94%EA%B3%A0%EA%B8%B0%EC%97%90%EC%86%9C%EC%94%A8%EB%A5%BC%EB%8D%94%ED%95%98%EB%8B%A4+%EC%86%A1%EC%B4%8C%EC%A0%90+%EB%8C%80%EB%8D%95%EA%B5%AC","블로그 보기")</f>
        <v>블로그 보기</v>
      </c>
      <c r="J100" s="5" t="str">
        <f>HYPERLINK("https://www.instagram.com/thehada_songchon","업체 보기")</f>
        <v>업체 보기</v>
      </c>
      <c r="K100" s="5"/>
      <c r="L100" s="4"/>
      <c r="M100" s="7">
        <v>46194</v>
      </c>
      <c r="N100" s="8">
        <v>6</v>
      </c>
      <c r="O100" s="8">
        <v>21</v>
      </c>
      <c r="P100" s="8">
        <v>28</v>
      </c>
      <c r="Q100" s="8">
        <v>1</v>
      </c>
      <c r="R100" s="8">
        <v>0</v>
      </c>
      <c r="S100" s="4" t="s">
        <v>218</v>
      </c>
      <c r="T100" s="9">
        <v>36.363918599999998</v>
      </c>
      <c r="U100" s="9">
        <v>127.4398496</v>
      </c>
    </row>
    <row r="101" spans="1:21" ht="32.1" customHeight="1">
      <c r="A101" s="5" t="s">
        <v>36</v>
      </c>
      <c r="B101" s="5" t="s">
        <v>9</v>
      </c>
      <c r="C101" s="4" t="s">
        <v>470</v>
      </c>
      <c r="D101" s="4" t="s">
        <v>471</v>
      </c>
      <c r="E101" s="6">
        <v>44</v>
      </c>
      <c r="F101" s="4" t="s">
        <v>421</v>
      </c>
      <c r="G101" s="4" t="s">
        <v>472</v>
      </c>
      <c r="H101" s="4" t="s">
        <v>473</v>
      </c>
      <c r="I101" s="5" t="str">
        <f>HYPERLINK("https://search.naver.com/search.naver?where=blog&amp;query=%EA%B5%B4%EC%84%B8%EC%83%81+%EB%8D%95%EC%95%94%EC%A0%90+%EB%8C%80%EB%8D%95%EA%B5%AC","블로그 보기")</f>
        <v>블로그 보기</v>
      </c>
      <c r="J101" s="5"/>
      <c r="K101" s="5"/>
      <c r="L101" s="4"/>
      <c r="M101" s="7">
        <v>46218</v>
      </c>
      <c r="N101" s="8">
        <v>4</v>
      </c>
      <c r="O101" s="8">
        <v>23</v>
      </c>
      <c r="P101" s="8">
        <v>25</v>
      </c>
      <c r="Q101" s="8">
        <v>1</v>
      </c>
      <c r="R101" s="8">
        <v>1</v>
      </c>
      <c r="S101" s="4" t="s">
        <v>148</v>
      </c>
      <c r="T101" s="9">
        <v>36.443456699999999</v>
      </c>
      <c r="U101" s="9">
        <v>127.4251939</v>
      </c>
    </row>
    <row r="102" spans="1:21" ht="32.1" customHeight="1">
      <c r="A102" s="5" t="s">
        <v>36</v>
      </c>
      <c r="B102" s="5" t="s">
        <v>12</v>
      </c>
      <c r="C102" s="4" t="s">
        <v>474</v>
      </c>
      <c r="D102" s="4" t="s">
        <v>475</v>
      </c>
      <c r="E102" s="6">
        <v>80</v>
      </c>
      <c r="F102" s="4" t="s">
        <v>45</v>
      </c>
      <c r="G102" s="4" t="s">
        <v>476</v>
      </c>
      <c r="H102" s="4" t="s">
        <v>477</v>
      </c>
      <c r="I102" s="5" t="str">
        <f>HYPERLINK("https://search.naver.com/search.naver?where=blog&amp;query=%EB%B0%B1%EC%86%A1%ED%95%9C%EC%9A%B0+%EB%8C%80%EC%A0%84+%EC%9C%A0%EC%84%B1+%EC%9C%A0%EC%84%B1%EA%B5%AC","블로그 보기")</f>
        <v>블로그 보기</v>
      </c>
      <c r="J102" s="5" t="str">
        <f>HYPERLINK("https://blog.naver.com/baeksong_taejeon","업체 보기")</f>
        <v>업체 보기</v>
      </c>
      <c r="K102" s="5"/>
      <c r="L102" s="4"/>
      <c r="M102" s="7">
        <v>46223</v>
      </c>
      <c r="N102" s="8">
        <v>100</v>
      </c>
      <c r="O102" s="8">
        <v>97</v>
      </c>
      <c r="P102" s="8">
        <v>23054</v>
      </c>
      <c r="Q102" s="8">
        <v>4</v>
      </c>
      <c r="R102" s="8">
        <v>3</v>
      </c>
      <c r="S102" s="4" t="s">
        <v>478</v>
      </c>
      <c r="T102" s="9">
        <v>36.350693999999997</v>
      </c>
      <c r="U102" s="9">
        <v>127.331532</v>
      </c>
    </row>
    <row r="103" spans="1:21" ht="32.1" customHeight="1">
      <c r="A103" s="5" t="s">
        <v>36</v>
      </c>
      <c r="B103" s="5" t="s">
        <v>12</v>
      </c>
      <c r="C103" s="4" t="s">
        <v>479</v>
      </c>
      <c r="D103" s="4" t="s">
        <v>210</v>
      </c>
      <c r="E103" s="6">
        <v>78</v>
      </c>
      <c r="F103" s="4" t="s">
        <v>385</v>
      </c>
      <c r="G103" s="4" t="s">
        <v>480</v>
      </c>
      <c r="H103" s="4" t="s">
        <v>481</v>
      </c>
      <c r="I103" s="5" t="str">
        <f>HYPERLINK("https://search.naver.com/search.naver?where=blog&amp;query=%ED%83%9C%ED%8F%89%EC%86%8C%EA%B5%AD%EB%B0%A5+%EC%98%A8%EC%B2%9C%EB%8F%99","블로그 보기")</f>
        <v>블로그 보기</v>
      </c>
      <c r="J103" s="5" t="str">
        <f>HYPERLINK("https://smartstore.naver.com/mcfdts","업체 보기")</f>
        <v>업체 보기</v>
      </c>
      <c r="K103" s="5"/>
      <c r="L103" s="4"/>
      <c r="M103" s="7">
        <v>46220</v>
      </c>
      <c r="N103" s="8">
        <v>26</v>
      </c>
      <c r="O103" s="8">
        <v>94</v>
      </c>
      <c r="P103" s="8">
        <v>121</v>
      </c>
      <c r="Q103" s="8">
        <v>5</v>
      </c>
      <c r="R103" s="8">
        <v>4</v>
      </c>
      <c r="S103" s="4" t="s">
        <v>482</v>
      </c>
      <c r="T103" s="9">
        <v>36.357455999999999</v>
      </c>
      <c r="U103" s="9">
        <v>127.35020609999999</v>
      </c>
    </row>
    <row r="104" spans="1:21" ht="32.1" customHeight="1">
      <c r="A104" s="5" t="s">
        <v>36</v>
      </c>
      <c r="B104" s="5" t="s">
        <v>12</v>
      </c>
      <c r="C104" s="4" t="s">
        <v>483</v>
      </c>
      <c r="D104" s="4" t="s">
        <v>484</v>
      </c>
      <c r="E104" s="6">
        <v>77</v>
      </c>
      <c r="F104" s="4" t="s">
        <v>485</v>
      </c>
      <c r="G104" s="4" t="s">
        <v>486</v>
      </c>
      <c r="H104" s="4" t="s">
        <v>487</v>
      </c>
      <c r="I104" s="5" t="str">
        <f>HYPERLINK("https://search.naver.com/search.naver?where=blog&amp;query=%EC%A0%84%EC%A3%BC%EC%A7%91+%EB%B3%B8%EC%A0%90+%EC%9C%A0%EC%84%B1%EA%B5%AC","블로그 보기")</f>
        <v>블로그 보기</v>
      </c>
      <c r="J104" s="5" t="str">
        <f>HYPERLINK("https://www.instagram.com/jeon_ju_jip/","업체 보기")</f>
        <v>업체 보기</v>
      </c>
      <c r="K104" s="5"/>
      <c r="L104" s="4"/>
      <c r="M104" s="7">
        <v>46190</v>
      </c>
      <c r="N104" s="8">
        <v>19</v>
      </c>
      <c r="O104" s="8">
        <v>76</v>
      </c>
      <c r="P104" s="8">
        <v>82</v>
      </c>
      <c r="Q104" s="8">
        <v>4</v>
      </c>
      <c r="R104" s="8">
        <v>2</v>
      </c>
      <c r="S104" s="4" t="s">
        <v>488</v>
      </c>
      <c r="T104" s="9">
        <v>36.354574200000002</v>
      </c>
      <c r="U104" s="9">
        <v>127.3459507</v>
      </c>
    </row>
    <row r="105" spans="1:21" ht="32.1" customHeight="1">
      <c r="A105" s="5" t="s">
        <v>36</v>
      </c>
      <c r="B105" s="5" t="s">
        <v>12</v>
      </c>
      <c r="C105" s="4" t="s">
        <v>489</v>
      </c>
      <c r="D105" s="4" t="s">
        <v>306</v>
      </c>
      <c r="E105" s="6">
        <v>74</v>
      </c>
      <c r="F105" s="4" t="s">
        <v>126</v>
      </c>
      <c r="G105" s="4" t="s">
        <v>490</v>
      </c>
      <c r="H105" s="4" t="s">
        <v>491</v>
      </c>
      <c r="I105" s="5" t="str">
        <f>HYPERLINK("https://search.naver.com/search.naver?where=blog&amp;query=%EB%8C%80%EC%86%90%EA%B4%80+%EB%8C%80%EC%A0%84%EB%B4%89%EB%AA%85%EB%B3%B8%EC%A0%90+%EC%9C%A0%EC%84%B1%EA%B5%AC","블로그 보기")</f>
        <v>블로그 보기</v>
      </c>
      <c r="J105" s="5" t="str">
        <f>HYPERLINK("http://www.instagram.com/daesonkwan","업체 보기")</f>
        <v>업체 보기</v>
      </c>
      <c r="K105" s="5"/>
      <c r="L105" s="4"/>
      <c r="M105" s="7">
        <v>46223</v>
      </c>
      <c r="N105" s="8">
        <v>100</v>
      </c>
      <c r="O105" s="8">
        <v>96</v>
      </c>
      <c r="P105" s="8">
        <v>3155</v>
      </c>
      <c r="Q105" s="8">
        <v>2</v>
      </c>
      <c r="R105" s="8">
        <v>2</v>
      </c>
      <c r="S105" s="4" t="s">
        <v>492</v>
      </c>
      <c r="T105" s="9">
        <v>36.358852200000001</v>
      </c>
      <c r="U105" s="9">
        <v>127.35284660000001</v>
      </c>
    </row>
    <row r="106" spans="1:21" ht="32.1" hidden="1" customHeight="1">
      <c r="A106" s="5" t="s">
        <v>1857</v>
      </c>
      <c r="B106" s="5" t="s">
        <v>12</v>
      </c>
      <c r="C106" s="4" t="s">
        <v>493</v>
      </c>
      <c r="D106" s="4" t="s">
        <v>150</v>
      </c>
      <c r="E106" s="6">
        <v>74</v>
      </c>
      <c r="F106" s="4" t="s">
        <v>56</v>
      </c>
      <c r="G106" s="4" t="s">
        <v>494</v>
      </c>
      <c r="H106" s="4" t="s">
        <v>495</v>
      </c>
      <c r="I106" s="5" t="str">
        <f>HYPERLINK("https://search.naver.com/search.naver?where=blog&amp;query=%EC%86%90%EC%9D%98%EC%86%90+%EB%B0%98%EC%84%9D%EC%A0%90+%EC%9C%A0%EC%84%B1%EA%B5%AC","블로그 보기")</f>
        <v>블로그 보기</v>
      </c>
      <c r="J106" s="5" t="str">
        <f>HYPERLINK("https://blog.naver.com/sonofson_","업체 보기")</f>
        <v>업체 보기</v>
      </c>
      <c r="K106" s="5"/>
      <c r="L106" s="4"/>
      <c r="M106" s="7">
        <v>46223</v>
      </c>
      <c r="N106" s="8">
        <v>100</v>
      </c>
      <c r="O106" s="8">
        <v>93</v>
      </c>
      <c r="P106" s="8">
        <v>150</v>
      </c>
      <c r="Q106" s="8">
        <v>4</v>
      </c>
      <c r="R106" s="8">
        <v>4</v>
      </c>
      <c r="S106" s="4" t="s">
        <v>496</v>
      </c>
      <c r="T106" s="9">
        <v>36.390560700000002</v>
      </c>
      <c r="U106" s="9">
        <v>127.30914749999999</v>
      </c>
    </row>
    <row r="107" spans="1:21" ht="32.1" customHeight="1">
      <c r="A107" s="5" t="s">
        <v>36</v>
      </c>
      <c r="B107" s="5" t="s">
        <v>12</v>
      </c>
      <c r="C107" s="4" t="s">
        <v>497</v>
      </c>
      <c r="D107" s="4" t="s">
        <v>38</v>
      </c>
      <c r="E107" s="6">
        <v>73</v>
      </c>
      <c r="F107" s="4" t="s">
        <v>39</v>
      </c>
      <c r="G107" s="4" t="s">
        <v>498</v>
      </c>
      <c r="H107" s="4" t="s">
        <v>499</v>
      </c>
      <c r="I107" s="5" t="str">
        <f>HYPERLINK("https://search.naver.com/search.naver?where=blog&amp;query=%EC%86%8C%EB%8B%B4%EC%B9%BC%EA%B5%AD%EC%88%98%EC%AD%88%EA%BE%B8%EB%AF%B8+%EC%96%B4%EC%9D%80%EC%A0%90+%EC%9C%A0%EC%84%B1%EA%B5%AC","블로그 보기")</f>
        <v>블로그 보기</v>
      </c>
      <c r="J107" s="5"/>
      <c r="K107" s="5"/>
      <c r="L107" s="4"/>
      <c r="M107" s="7">
        <v>46202</v>
      </c>
      <c r="N107" s="8">
        <v>100</v>
      </c>
      <c r="O107" s="8">
        <v>97</v>
      </c>
      <c r="P107" s="8">
        <v>169</v>
      </c>
      <c r="Q107" s="8">
        <v>4</v>
      </c>
      <c r="R107" s="8">
        <v>2</v>
      </c>
      <c r="S107" s="4" t="s">
        <v>500</v>
      </c>
      <c r="T107" s="9">
        <v>36.363132800000002</v>
      </c>
      <c r="U107" s="9">
        <v>127.3578548</v>
      </c>
    </row>
    <row r="108" spans="1:21" ht="32.1" customHeight="1">
      <c r="A108" s="5" t="s">
        <v>36</v>
      </c>
      <c r="B108" s="5" t="s">
        <v>12</v>
      </c>
      <c r="C108" s="4" t="s">
        <v>501</v>
      </c>
      <c r="D108" s="4" t="s">
        <v>71</v>
      </c>
      <c r="E108" s="6">
        <v>73</v>
      </c>
      <c r="F108" s="4" t="s">
        <v>56</v>
      </c>
      <c r="G108" s="4" t="s">
        <v>502</v>
      </c>
      <c r="H108" s="4" t="s">
        <v>503</v>
      </c>
      <c r="I108" s="5" t="str">
        <f>HYPERLINK("https://search.naver.com/search.naver?where=blog&amp;query=%ED%98%95%EA%B3%BC%EC%95%84%EC%9A%B0%EB%88%84%EB%A3%BD%EC%A7%80%EC%82%BC%EA%B3%84%ED%83%95%EC%99%95%EA%B0%88%EB%B9%84%ED%83%95+%EB%B4%89%EB%AA%85%EB%8F%99","블로그 보기")</f>
        <v>블로그 보기</v>
      </c>
      <c r="J108" s="5" t="str">
        <f>HYPERLINK("http://www.형과아우.com/","업체 보기")</f>
        <v>업체 보기</v>
      </c>
      <c r="K108" s="5"/>
      <c r="L108" s="4"/>
      <c r="M108" s="7">
        <v>46223</v>
      </c>
      <c r="N108" s="8">
        <v>100</v>
      </c>
      <c r="O108" s="8">
        <v>97</v>
      </c>
      <c r="P108" s="8">
        <v>3511</v>
      </c>
      <c r="Q108" s="8">
        <v>5</v>
      </c>
      <c r="R108" s="8">
        <v>1</v>
      </c>
      <c r="S108" s="4" t="s">
        <v>504</v>
      </c>
      <c r="T108" s="9">
        <v>36.355410200000001</v>
      </c>
      <c r="U108" s="9">
        <v>127.34459990000001</v>
      </c>
    </row>
    <row r="109" spans="1:21" ht="32.1" customHeight="1">
      <c r="A109" s="5" t="s">
        <v>36</v>
      </c>
      <c r="B109" s="5" t="s">
        <v>12</v>
      </c>
      <c r="C109" s="4" t="s">
        <v>505</v>
      </c>
      <c r="D109" s="4" t="s">
        <v>71</v>
      </c>
      <c r="E109" s="6">
        <v>72</v>
      </c>
      <c r="F109" s="4" t="s">
        <v>259</v>
      </c>
      <c r="G109" s="4" t="s">
        <v>506</v>
      </c>
      <c r="H109" s="4" t="s">
        <v>507</v>
      </c>
      <c r="I109" s="5" t="str">
        <f>HYPERLINK("https://search.naver.com/search.naver?where=blog&amp;query=%EC%86%A5%EA%B3%84+%EC%9C%A0%EC%84%B1%EA%B5%AC","블로그 보기")</f>
        <v>블로그 보기</v>
      </c>
      <c r="J109" s="5"/>
      <c r="K109" s="5"/>
      <c r="L109" s="4"/>
      <c r="M109" s="7">
        <v>46222</v>
      </c>
      <c r="N109" s="8">
        <v>17</v>
      </c>
      <c r="O109" s="8">
        <v>17</v>
      </c>
      <c r="P109" s="8">
        <v>17</v>
      </c>
      <c r="Q109" s="8">
        <v>7</v>
      </c>
      <c r="R109" s="8">
        <v>3</v>
      </c>
      <c r="S109" s="4" t="s">
        <v>508</v>
      </c>
      <c r="T109" s="9">
        <v>36.3611833</v>
      </c>
      <c r="U109" s="9">
        <v>127.3536739</v>
      </c>
    </row>
    <row r="110" spans="1:21" ht="32.1" customHeight="1">
      <c r="A110" s="5" t="s">
        <v>36</v>
      </c>
      <c r="B110" s="5" t="s">
        <v>12</v>
      </c>
      <c r="C110" s="4" t="s">
        <v>509</v>
      </c>
      <c r="D110" s="4" t="s">
        <v>38</v>
      </c>
      <c r="E110" s="6">
        <v>72</v>
      </c>
      <c r="F110" s="4" t="s">
        <v>39</v>
      </c>
      <c r="G110" s="4" t="s">
        <v>510</v>
      </c>
      <c r="H110" s="4" t="s">
        <v>511</v>
      </c>
      <c r="I110" s="5" t="str">
        <f>HYPERLINK("https://search.naver.com/search.naver?where=blog&amp;query=%EC%98%A4%EC%94%A8%EC%B9%BC%EA%B5%AD%EC%88%98+%EB%8F%84%EB%A3%A1%EC%A0%90+%EC%9C%A0%EC%84%B1%EA%B5%AC","블로그 보기")</f>
        <v>블로그 보기</v>
      </c>
      <c r="J110" s="5"/>
      <c r="K110" s="5"/>
      <c r="L110" s="4"/>
      <c r="M110" s="7">
        <v>46223</v>
      </c>
      <c r="N110" s="8">
        <v>100</v>
      </c>
      <c r="O110" s="8">
        <v>97</v>
      </c>
      <c r="P110" s="8">
        <v>1072</v>
      </c>
      <c r="Q110" s="8">
        <v>3</v>
      </c>
      <c r="R110" s="8">
        <v>2</v>
      </c>
      <c r="S110" s="4" t="s">
        <v>512</v>
      </c>
      <c r="T110" s="9">
        <v>36.375837099999998</v>
      </c>
      <c r="U110" s="9">
        <v>127.39509820000001</v>
      </c>
    </row>
    <row r="111" spans="1:21" ht="32.1" customHeight="1">
      <c r="A111" s="5" t="s">
        <v>36</v>
      </c>
      <c r="B111" s="5" t="s">
        <v>12</v>
      </c>
      <c r="C111" s="4" t="s">
        <v>513</v>
      </c>
      <c r="D111" s="4" t="s">
        <v>38</v>
      </c>
      <c r="E111" s="6">
        <v>71</v>
      </c>
      <c r="F111" s="4" t="s">
        <v>514</v>
      </c>
      <c r="G111" s="4" t="s">
        <v>515</v>
      </c>
      <c r="H111" s="4" t="s">
        <v>516</v>
      </c>
      <c r="I111" s="5" t="str">
        <f>HYPERLINK("https://search.naver.com/search.naver?where=blog&amp;query=%EC%9E%A5%EC%9B%90%EA%B0%91%EC%B9%BC%EA%B5%AD%EC%88%98+%EB%8C%80%EC%A0%84%EC%9C%A0%EC%84%B1%EC%A0%90+%EC%9C%A0%EC%84%B1%EA%B5%AC","블로그 보기")</f>
        <v>블로그 보기</v>
      </c>
      <c r="J111" s="5" t="str">
        <f>HYPERLINK("https://app.catchtable.co.kr/ct/shop/JangwongabDaejoenYousung","업체 보기")</f>
        <v>업체 보기</v>
      </c>
      <c r="K111" s="5"/>
      <c r="L111" s="4"/>
      <c r="M111" s="7">
        <v>46223</v>
      </c>
      <c r="N111" s="8">
        <v>100</v>
      </c>
      <c r="O111" s="8">
        <v>98</v>
      </c>
      <c r="P111" s="8">
        <v>3097</v>
      </c>
      <c r="Q111" s="8">
        <v>2</v>
      </c>
      <c r="R111" s="8">
        <v>1</v>
      </c>
      <c r="S111" s="4" t="s">
        <v>517</v>
      </c>
      <c r="T111" s="9">
        <v>36.359989200000001</v>
      </c>
      <c r="U111" s="9">
        <v>127.3034737</v>
      </c>
    </row>
    <row r="112" spans="1:21" ht="32.1" customHeight="1">
      <c r="A112" s="5" t="s">
        <v>36</v>
      </c>
      <c r="B112" s="5" t="s">
        <v>12</v>
      </c>
      <c r="C112" s="4" t="s">
        <v>518</v>
      </c>
      <c r="D112" s="4" t="s">
        <v>484</v>
      </c>
      <c r="E112" s="6">
        <v>70</v>
      </c>
      <c r="F112" s="4" t="s">
        <v>519</v>
      </c>
      <c r="G112" s="4" t="s">
        <v>520</v>
      </c>
      <c r="H112" s="4" t="s">
        <v>521</v>
      </c>
      <c r="I112" s="5" t="str">
        <f>HYPERLINK("https://search.naver.com/search.naver?where=blog&amp;query=%EB%82%A8%EB%8F%84%EC%A3%BC%EB%A7%89+%EC%9C%A0%EC%84%B1%EA%B5%AC","블로그 보기")</f>
        <v>블로그 보기</v>
      </c>
      <c r="J112" s="5"/>
      <c r="K112" s="5"/>
      <c r="L112" s="4"/>
      <c r="M112" s="7">
        <v>46216</v>
      </c>
      <c r="N112" s="8">
        <v>35</v>
      </c>
      <c r="O112" s="8">
        <v>45</v>
      </c>
      <c r="P112" s="8">
        <v>222</v>
      </c>
      <c r="Q112" s="8">
        <v>3</v>
      </c>
      <c r="R112" s="8">
        <v>2</v>
      </c>
      <c r="S112" s="4" t="s">
        <v>488</v>
      </c>
      <c r="T112" s="9">
        <v>36.372756600000002</v>
      </c>
      <c r="U112" s="9">
        <v>127.31994229999999</v>
      </c>
    </row>
    <row r="113" spans="1:21" ht="32.1" customHeight="1">
      <c r="A113" s="5" t="s">
        <v>36</v>
      </c>
      <c r="B113" s="5" t="s">
        <v>12</v>
      </c>
      <c r="C113" s="4" t="s">
        <v>522</v>
      </c>
      <c r="D113" s="4" t="s">
        <v>231</v>
      </c>
      <c r="E113" s="6">
        <v>70</v>
      </c>
      <c r="F113" s="4" t="s">
        <v>56</v>
      </c>
      <c r="G113" s="4" t="s">
        <v>523</v>
      </c>
      <c r="H113" s="4" t="s">
        <v>524</v>
      </c>
      <c r="I113" s="5" t="str">
        <f>HYPERLINK("https://search.naver.com/search.naver?where=blog&amp;query=%EB%B0%95%EB%B4%89%EB%AA%85%EC%83%9D%EA%B0%88%EB%B9%84+%EC%9C%A0%EC%84%B1%EA%B5%AC","블로그 보기")</f>
        <v>블로그 보기</v>
      </c>
      <c r="J113" s="5"/>
      <c r="K113" s="5"/>
      <c r="L113" s="4"/>
      <c r="M113" s="7">
        <v>46214</v>
      </c>
      <c r="N113" s="8">
        <v>100</v>
      </c>
      <c r="O113" s="8">
        <v>90</v>
      </c>
      <c r="P113" s="8">
        <v>654</v>
      </c>
      <c r="Q113" s="8">
        <v>4</v>
      </c>
      <c r="R113" s="8">
        <v>2</v>
      </c>
      <c r="S113" s="4" t="s">
        <v>525</v>
      </c>
      <c r="T113" s="9">
        <v>36.358500300000003</v>
      </c>
      <c r="U113" s="9">
        <v>127.34579410000001</v>
      </c>
    </row>
    <row r="114" spans="1:21" ht="32.1" customHeight="1">
      <c r="A114" s="5" t="s">
        <v>36</v>
      </c>
      <c r="B114" s="5" t="s">
        <v>12</v>
      </c>
      <c r="C114" s="4" t="s">
        <v>526</v>
      </c>
      <c r="D114" s="4" t="s">
        <v>96</v>
      </c>
      <c r="E114" s="6">
        <v>70</v>
      </c>
      <c r="F114" s="4" t="s">
        <v>56</v>
      </c>
      <c r="G114" s="4" t="s">
        <v>527</v>
      </c>
      <c r="H114" s="4" t="s">
        <v>528</v>
      </c>
      <c r="I114" s="5" t="str">
        <f>HYPERLINK("https://search.naver.com/search.naver?where=blog&amp;query=%EC%B2%A0%EC%88%98%EB%84%A4%EB%A7%A4%EC%9A%B4%EA%B0%88%EB%B9%84%EC%B0%9C+%EC%9C%A0%EC%84%B1%EA%B5%AC","블로그 보기")</f>
        <v>블로그 보기</v>
      </c>
      <c r="J114" s="5"/>
      <c r="K114" s="5"/>
      <c r="L114" s="4"/>
      <c r="M114" s="7">
        <v>46222</v>
      </c>
      <c r="N114" s="8">
        <v>100</v>
      </c>
      <c r="O114" s="8">
        <v>98</v>
      </c>
      <c r="P114" s="8">
        <v>528</v>
      </c>
      <c r="Q114" s="8">
        <v>4</v>
      </c>
      <c r="R114" s="8">
        <v>2</v>
      </c>
      <c r="S114" s="4" t="s">
        <v>525</v>
      </c>
      <c r="T114" s="9">
        <v>36.3565702</v>
      </c>
      <c r="U114" s="9">
        <v>127.3417067</v>
      </c>
    </row>
    <row r="115" spans="1:21" ht="32.1" hidden="1" customHeight="1">
      <c r="A115" s="5" t="s">
        <v>1857</v>
      </c>
      <c r="B115" s="5" t="s">
        <v>12</v>
      </c>
      <c r="C115" s="4" t="s">
        <v>529</v>
      </c>
      <c r="D115" s="4" t="s">
        <v>530</v>
      </c>
      <c r="E115" s="6">
        <v>69</v>
      </c>
      <c r="F115" s="4" t="s">
        <v>531</v>
      </c>
      <c r="G115" s="4" t="s">
        <v>532</v>
      </c>
      <c r="H115" s="4" t="s">
        <v>533</v>
      </c>
      <c r="I115" s="5" t="str">
        <f>HYPERLINK("https://search.naver.com/search.naver?where=blog&amp;query=%EB%B3%B8%EC%A3%BD%26%EB%B9%84%EB%B9%94%EB%B0%A5cafe+%EB%8C%80%EC%A0%84%EC%96%B4%EC%9D%80%EC%A0%90+%EC%9C%A0%EC%84%B1%EA%B5%AC","블로그 보기")</f>
        <v>블로그 보기</v>
      </c>
      <c r="J115" s="5" t="str">
        <f>HYPERLINK("https://www.bonif.co.kr/menu/list?brdCd=BF102","업체 보기")</f>
        <v>업체 보기</v>
      </c>
      <c r="K115" s="5"/>
      <c r="L115" s="4"/>
      <c r="M115" s="7">
        <v>46117</v>
      </c>
      <c r="N115" s="8">
        <v>46</v>
      </c>
      <c r="O115" s="8">
        <v>25</v>
      </c>
      <c r="P115" s="8">
        <v>136</v>
      </c>
      <c r="Q115" s="8">
        <v>3</v>
      </c>
      <c r="R115" s="8">
        <v>2</v>
      </c>
      <c r="S115" s="4" t="s">
        <v>534</v>
      </c>
      <c r="T115" s="9">
        <v>36.363463299999999</v>
      </c>
      <c r="U115" s="9">
        <v>127.356954</v>
      </c>
    </row>
    <row r="116" spans="1:21" ht="32.1" customHeight="1">
      <c r="A116" s="5" t="s">
        <v>36</v>
      </c>
      <c r="B116" s="5" t="s">
        <v>12</v>
      </c>
      <c r="C116" s="4" t="s">
        <v>535</v>
      </c>
      <c r="D116" s="4" t="s">
        <v>119</v>
      </c>
      <c r="E116" s="6">
        <v>69</v>
      </c>
      <c r="F116" s="4" t="s">
        <v>56</v>
      </c>
      <c r="G116" s="4" t="s">
        <v>536</v>
      </c>
      <c r="H116" s="4" t="s">
        <v>537</v>
      </c>
      <c r="I116" s="5" t="str">
        <f>HYPERLINK("https://search.naver.com/search.naver?where=blog&amp;query=%EC%9C%A0%EC%84%B1%EB%B3%B8%EA%B0%80+%EB%88%84%EB%A3%BD%EC%A7%80%EC%82%BC%EA%B3%84%ED%83%95+%EC%9C%A0%EC%84%B1%EA%B5%AC","블로그 보기")</f>
        <v>블로그 보기</v>
      </c>
      <c r="J116" s="5"/>
      <c r="K116" s="5"/>
      <c r="L116" s="4"/>
      <c r="M116" s="7">
        <v>46222</v>
      </c>
      <c r="N116" s="8">
        <v>100</v>
      </c>
      <c r="O116" s="8">
        <v>94</v>
      </c>
      <c r="P116" s="8">
        <v>3425</v>
      </c>
      <c r="Q116" s="8">
        <v>4</v>
      </c>
      <c r="R116" s="8">
        <v>1</v>
      </c>
      <c r="S116" s="4" t="s">
        <v>538</v>
      </c>
      <c r="T116" s="9">
        <v>36.352036400000003</v>
      </c>
      <c r="U116" s="9">
        <v>127.3282523</v>
      </c>
    </row>
    <row r="117" spans="1:21" ht="32.1" customHeight="1">
      <c r="A117" s="5" t="s">
        <v>36</v>
      </c>
      <c r="B117" s="5" t="s">
        <v>12</v>
      </c>
      <c r="C117" s="4" t="s">
        <v>539</v>
      </c>
      <c r="D117" s="4" t="s">
        <v>540</v>
      </c>
      <c r="E117" s="6">
        <v>68</v>
      </c>
      <c r="F117" s="4" t="s">
        <v>541</v>
      </c>
      <c r="G117" s="4" t="s">
        <v>542</v>
      </c>
      <c r="H117" s="4" t="s">
        <v>543</v>
      </c>
      <c r="I117" s="5" t="str">
        <f>HYPERLINK("https://search.naver.com/search.naver?where=blog&amp;query=%EB%8B%AC%EA%B5%AC%EC%A7%80%EB%A7%89%EC%B0%BD+%EC%9C%A0%EC%84%B1%EC%A0%90+%EC%9C%A0%EC%84%B1%EA%B5%AC","블로그 보기")</f>
        <v>블로그 보기</v>
      </c>
      <c r="J117" s="5"/>
      <c r="K117" s="5"/>
      <c r="L117" s="4"/>
      <c r="M117" s="7">
        <v>46206</v>
      </c>
      <c r="N117" s="8">
        <v>67</v>
      </c>
      <c r="O117" s="8">
        <v>66</v>
      </c>
      <c r="P117" s="8">
        <v>122</v>
      </c>
      <c r="Q117" s="8">
        <v>4</v>
      </c>
      <c r="R117" s="8">
        <v>2</v>
      </c>
      <c r="S117" s="4" t="s">
        <v>544</v>
      </c>
      <c r="T117" s="9">
        <v>36.362013699999999</v>
      </c>
      <c r="U117" s="9">
        <v>127.3534088</v>
      </c>
    </row>
    <row r="118" spans="1:21" ht="32.1" customHeight="1">
      <c r="A118" s="5" t="s">
        <v>36</v>
      </c>
      <c r="B118" s="5" t="s">
        <v>12</v>
      </c>
      <c r="C118" s="4" t="s">
        <v>545</v>
      </c>
      <c r="D118" s="4" t="s">
        <v>546</v>
      </c>
      <c r="E118" s="6">
        <v>68</v>
      </c>
      <c r="F118" s="4" t="s">
        <v>45</v>
      </c>
      <c r="G118" s="4" t="s">
        <v>547</v>
      </c>
      <c r="H118" s="4" t="s">
        <v>548</v>
      </c>
      <c r="I118" s="5" t="str">
        <f>HYPERLINK("https://search.naver.com/search.naver?where=blog&amp;query=%EB%B3%B5%EC%82%AC%EA%BD%83%ED%94%BC%EB%8A%94%EC%A7%91+%EB%8C%80%EC%A0%84%EC%A0%90+%EC%9C%A0%EC%84%B1%EA%B5%AC","블로그 보기")</f>
        <v>블로그 보기</v>
      </c>
      <c r="J118" s="5" t="str">
        <f>HYPERLINK("https://www.tabling.co.kr/restaurant/12090","업체 보기")</f>
        <v>업체 보기</v>
      </c>
      <c r="K118" s="5"/>
      <c r="L118" s="4"/>
      <c r="M118" s="7">
        <v>46221</v>
      </c>
      <c r="N118" s="8">
        <v>100</v>
      </c>
      <c r="O118" s="8">
        <v>91</v>
      </c>
      <c r="P118" s="8">
        <v>1164</v>
      </c>
      <c r="Q118" s="8">
        <v>2</v>
      </c>
      <c r="R118" s="8">
        <v>2</v>
      </c>
      <c r="S118" s="4" t="s">
        <v>549</v>
      </c>
      <c r="T118" s="9">
        <v>36.335164499999998</v>
      </c>
      <c r="U118" s="9">
        <v>127.3012255</v>
      </c>
    </row>
    <row r="119" spans="1:21" ht="32.1" customHeight="1">
      <c r="A119" s="5" t="s">
        <v>36</v>
      </c>
      <c r="B119" s="5" t="s">
        <v>12</v>
      </c>
      <c r="C119" s="4" t="s">
        <v>550</v>
      </c>
      <c r="D119" s="4" t="s">
        <v>71</v>
      </c>
      <c r="E119" s="6">
        <v>68</v>
      </c>
      <c r="F119" s="4" t="s">
        <v>45</v>
      </c>
      <c r="G119" s="4" t="s">
        <v>551</v>
      </c>
      <c r="H119" s="4" t="s">
        <v>552</v>
      </c>
      <c r="I119" s="5" t="str">
        <f>HYPERLINK("https://search.naver.com/search.naver?where=blog&amp;query=%EC%B9%BC+%EB%88%84%EB%93%A4%EB%B0%94+%EB%8C%80%EC%A0%84%EB%B4%89%EB%AA%85%EC%A0%90+%EC%9C%A0%EC%84%B1%EA%B5%AC","블로그 보기")</f>
        <v>블로그 보기</v>
      </c>
      <c r="J119" s="5"/>
      <c r="K119" s="5"/>
      <c r="L119" s="4"/>
      <c r="M119" s="7">
        <v>46223</v>
      </c>
      <c r="N119" s="8">
        <v>100</v>
      </c>
      <c r="O119" s="8">
        <v>97</v>
      </c>
      <c r="P119" s="8">
        <v>468</v>
      </c>
      <c r="Q119" s="8">
        <v>3</v>
      </c>
      <c r="R119" s="8">
        <v>1</v>
      </c>
      <c r="S119" s="4" t="s">
        <v>553</v>
      </c>
      <c r="T119" s="9">
        <v>36.358694100000001</v>
      </c>
      <c r="U119" s="9">
        <v>127.3457879</v>
      </c>
    </row>
    <row r="120" spans="1:21" ht="32.1" customHeight="1">
      <c r="A120" s="5" t="s">
        <v>36</v>
      </c>
      <c r="B120" s="5" t="s">
        <v>12</v>
      </c>
      <c r="C120" s="4" t="s">
        <v>554</v>
      </c>
      <c r="D120" s="4" t="s">
        <v>55</v>
      </c>
      <c r="E120" s="6">
        <v>67</v>
      </c>
      <c r="F120" s="4" t="s">
        <v>56</v>
      </c>
      <c r="G120" s="4" t="s">
        <v>555</v>
      </c>
      <c r="H120" s="4" t="s">
        <v>556</v>
      </c>
      <c r="I120" s="5" t="str">
        <f>HYPERLINK("https://search.naver.com/search.naver?where=blog&amp;query=%EC%A0%84%ED%86%B5%EC%88%9C%EB%8C%80%EA%B5%AD%EB%B0%A5+%EC%9C%A0%EC%84%B1%EA%B5%AC","블로그 보기")</f>
        <v>블로그 보기</v>
      </c>
      <c r="J120" s="5"/>
      <c r="K120" s="5"/>
      <c r="L120" s="4"/>
      <c r="M120" s="7">
        <v>46221</v>
      </c>
      <c r="N120" s="8">
        <v>100</v>
      </c>
      <c r="O120" s="8">
        <v>97</v>
      </c>
      <c r="P120" s="8">
        <v>1045</v>
      </c>
      <c r="Q120" s="8">
        <v>3</v>
      </c>
      <c r="R120" s="8">
        <v>2</v>
      </c>
      <c r="S120" s="4" t="s">
        <v>557</v>
      </c>
      <c r="T120" s="9">
        <v>36.3608203</v>
      </c>
      <c r="U120" s="9">
        <v>127.35411360000001</v>
      </c>
    </row>
    <row r="121" spans="1:21" ht="32.1" customHeight="1">
      <c r="A121" s="5" t="s">
        <v>36</v>
      </c>
      <c r="B121" s="5" t="s">
        <v>12</v>
      </c>
      <c r="C121" s="4" t="s">
        <v>558</v>
      </c>
      <c r="D121" s="4" t="s">
        <v>559</v>
      </c>
      <c r="E121" s="6">
        <v>67</v>
      </c>
      <c r="F121" s="4" t="s">
        <v>560</v>
      </c>
      <c r="G121" s="4" t="s">
        <v>561</v>
      </c>
      <c r="H121" s="4" t="s">
        <v>562</v>
      </c>
      <c r="I121" s="5" t="str">
        <f>HYPERLINK("https://search.naver.com/search.naver?where=blog&amp;query=%EC%A0%9C%EB%A9%B4%EC%86%8C%EC%9D%98%ED%95%98%EB%A3%A8+%EB%8C%80%EC%A0%84%EC%96%B4%EC%9D%80%EB%B3%B8%EC%A0%90+%EC%9C%A0%EC%84%B1%EA%B5%AC","블로그 보기")</f>
        <v>블로그 보기</v>
      </c>
      <c r="J121" s="5"/>
      <c r="K121" s="5"/>
      <c r="L121" s="4"/>
      <c r="M121" s="7">
        <v>46223</v>
      </c>
      <c r="N121" s="8">
        <v>95</v>
      </c>
      <c r="O121" s="8">
        <v>79</v>
      </c>
      <c r="P121" s="8">
        <v>135</v>
      </c>
      <c r="Q121" s="8">
        <v>2</v>
      </c>
      <c r="R121" s="8">
        <v>1</v>
      </c>
      <c r="S121" s="4" t="s">
        <v>563</v>
      </c>
      <c r="T121" s="9">
        <v>36.363576500000001</v>
      </c>
      <c r="U121" s="9">
        <v>127.3573136</v>
      </c>
    </row>
    <row r="122" spans="1:21" ht="32.1" customHeight="1">
      <c r="A122" s="5" t="s">
        <v>36</v>
      </c>
      <c r="B122" s="5" t="s">
        <v>12</v>
      </c>
      <c r="C122" s="4" t="s">
        <v>564</v>
      </c>
      <c r="D122" s="4" t="s">
        <v>231</v>
      </c>
      <c r="E122" s="6">
        <v>67</v>
      </c>
      <c r="F122" s="4" t="s">
        <v>56</v>
      </c>
      <c r="G122" s="4" t="s">
        <v>565</v>
      </c>
      <c r="H122" s="4" t="s">
        <v>566</v>
      </c>
      <c r="I122" s="5" t="str">
        <f>HYPERLINK("https://search.naver.com/search.naver?where=blog&amp;query=%EC%A0%9C%EC%A3%BC%EB%98%A5%EB%8F%BC%EC%A7%80%EC%98%A4%EA%B2%B9%EC%82%B4+%EC%9C%A0%EC%84%B1%EA%B5%AC","블로그 보기")</f>
        <v>블로그 보기</v>
      </c>
      <c r="J122" s="5"/>
      <c r="K122" s="5"/>
      <c r="L122" s="4"/>
      <c r="M122" s="7">
        <v>46222</v>
      </c>
      <c r="N122" s="8">
        <v>100</v>
      </c>
      <c r="O122" s="8">
        <v>99</v>
      </c>
      <c r="P122" s="8">
        <v>1358</v>
      </c>
      <c r="Q122" s="8">
        <v>3</v>
      </c>
      <c r="R122" s="8">
        <v>2</v>
      </c>
      <c r="S122" s="4" t="s">
        <v>525</v>
      </c>
      <c r="T122" s="9">
        <v>36.354816499999998</v>
      </c>
      <c r="U122" s="9">
        <v>127.3448654</v>
      </c>
    </row>
    <row r="123" spans="1:21" ht="32.1" customHeight="1">
      <c r="A123" s="5" t="s">
        <v>36</v>
      </c>
      <c r="B123" s="5" t="s">
        <v>12</v>
      </c>
      <c r="C123" s="4" t="s">
        <v>567</v>
      </c>
      <c r="D123" s="4" t="s">
        <v>210</v>
      </c>
      <c r="E123" s="6">
        <v>66</v>
      </c>
      <c r="F123" s="4" t="s">
        <v>45</v>
      </c>
      <c r="G123" s="4" t="s">
        <v>568</v>
      </c>
      <c r="H123" s="4" t="s">
        <v>569</v>
      </c>
      <c r="I123" s="5" t="str">
        <f>HYPERLINK("https://search.naver.com/search.naver?where=blog&amp;query=%EB%8C%80%EC%A0%84+%ED%83%9C%ED%8F%89%EC%86%8C%EA%B5%AD%EB%B0%A5+%EC%9C%A0%EC%84%B1%EA%B5%AC","블로그 보기")</f>
        <v>블로그 보기</v>
      </c>
      <c r="J123" s="5"/>
      <c r="K123" s="5"/>
      <c r="L123" s="4"/>
      <c r="M123" s="7">
        <v>46223</v>
      </c>
      <c r="N123" s="8">
        <v>100</v>
      </c>
      <c r="O123" s="8">
        <v>100</v>
      </c>
      <c r="P123" s="8">
        <v>8645</v>
      </c>
      <c r="Q123" s="8">
        <v>2</v>
      </c>
      <c r="R123" s="8">
        <v>1</v>
      </c>
      <c r="S123" s="4" t="s">
        <v>570</v>
      </c>
      <c r="T123" s="9">
        <v>36.358106800000002</v>
      </c>
      <c r="U123" s="9">
        <v>127.35129329999999</v>
      </c>
    </row>
    <row r="124" spans="1:21" ht="32.1" customHeight="1">
      <c r="A124" s="5" t="s">
        <v>36</v>
      </c>
      <c r="B124" s="5" t="s">
        <v>12</v>
      </c>
      <c r="C124" s="4" t="s">
        <v>571</v>
      </c>
      <c r="D124" s="4" t="s">
        <v>572</v>
      </c>
      <c r="E124" s="6">
        <v>66</v>
      </c>
      <c r="F124" s="4" t="s">
        <v>573</v>
      </c>
      <c r="G124" s="4" t="s">
        <v>574</v>
      </c>
      <c r="H124" s="4" t="s">
        <v>575</v>
      </c>
      <c r="I124" s="5" t="str">
        <f>HYPERLINK("https://search.naver.com/search.naver?where=blog&amp;query=%EC%A7%84%EC%9B%90%EC%86%8C%EC%9A%B0+%EB%8C%80%EC%A0%84%EB%B4%89%EB%AA%85%EC%A0%90+%EC%9C%A0%EC%84%B1%EA%B5%AC","블로그 보기")</f>
        <v>블로그 보기</v>
      </c>
      <c r="J124" s="5" t="str">
        <f>HYPERLINK("https://www.instagram.com/jinwon_sowoo_bongmyung","업체 보기")</f>
        <v>업체 보기</v>
      </c>
      <c r="K124" s="5"/>
      <c r="L124" s="4"/>
      <c r="M124" s="7">
        <v>46221</v>
      </c>
      <c r="N124" s="8">
        <v>73</v>
      </c>
      <c r="O124" s="8">
        <v>97</v>
      </c>
      <c r="P124" s="8">
        <v>282</v>
      </c>
      <c r="Q124" s="8">
        <v>2</v>
      </c>
      <c r="R124" s="8">
        <v>2</v>
      </c>
      <c r="S124" s="4" t="s">
        <v>576</v>
      </c>
      <c r="T124" s="9">
        <v>36.359201200000001</v>
      </c>
      <c r="U124" s="9">
        <v>127.3461452</v>
      </c>
    </row>
    <row r="125" spans="1:21" ht="32.1" customHeight="1">
      <c r="A125" s="5" t="s">
        <v>36</v>
      </c>
      <c r="B125" s="5" t="s">
        <v>12</v>
      </c>
      <c r="C125" s="4" t="s">
        <v>577</v>
      </c>
      <c r="D125" s="4" t="s">
        <v>71</v>
      </c>
      <c r="E125" s="6">
        <v>65</v>
      </c>
      <c r="F125" s="4" t="s">
        <v>39</v>
      </c>
      <c r="G125" s="4" t="s">
        <v>578</v>
      </c>
      <c r="H125" s="4" t="s">
        <v>579</v>
      </c>
      <c r="I125" s="5" t="str">
        <f>HYPERLINK("https://search.naver.com/search.naver?where=blog&amp;query=%EB%B0%A5%ED%95%98%EA%B8%B0%EC%8B%AB%EC%9D%80%EB%82%A0+%ED%9B%84%EB%A3%A8%EB%A3%A9%EC%86%90%EC%B9%BC%EA%B5%AD%EC%88%98+%EC%9C%A0%EC%84%B1%EA%B5%AC","블로그 보기")</f>
        <v>블로그 보기</v>
      </c>
      <c r="J125" s="5" t="str">
        <f>HYPERLINK("https://www.instagram.com/hururukkalguksu/","업체 보기")</f>
        <v>업체 보기</v>
      </c>
      <c r="K125" s="5"/>
      <c r="L125" s="4"/>
      <c r="M125" s="7">
        <v>46220</v>
      </c>
      <c r="N125" s="8">
        <v>100</v>
      </c>
      <c r="O125" s="8">
        <v>97</v>
      </c>
      <c r="P125" s="8">
        <v>1158</v>
      </c>
      <c r="Q125" s="8">
        <v>2</v>
      </c>
      <c r="R125" s="8">
        <v>1</v>
      </c>
      <c r="S125" s="4" t="s">
        <v>580</v>
      </c>
      <c r="T125" s="9">
        <v>36.389236799999999</v>
      </c>
      <c r="U125" s="9">
        <v>127.3152853</v>
      </c>
    </row>
    <row r="126" spans="1:21" ht="32.1" customHeight="1">
      <c r="A126" s="5" t="s">
        <v>36</v>
      </c>
      <c r="B126" s="5" t="s">
        <v>12</v>
      </c>
      <c r="C126" s="4" t="s">
        <v>581</v>
      </c>
      <c r="D126" s="4" t="s">
        <v>71</v>
      </c>
      <c r="E126" s="6">
        <v>65</v>
      </c>
      <c r="F126" s="4" t="s">
        <v>582</v>
      </c>
      <c r="G126" s="4" t="s">
        <v>583</v>
      </c>
      <c r="H126" s="4" t="s">
        <v>584</v>
      </c>
      <c r="I126" s="5" t="str">
        <f>HYPERLINK("https://search.naver.com/search.naver?where=blog&amp;query=%EC%9A%B4%ED%83%84+%EB%B0%98%EC%84%9D+%EB%B3%B8%EC%A0%90+%EC%9C%A0%EC%84%B1%EA%B5%AC","블로그 보기")</f>
        <v>블로그 보기</v>
      </c>
      <c r="J126" s="5" t="str">
        <f>HYPERLINK("http://www.instagram.com/untan.korea","업체 보기")</f>
        <v>업체 보기</v>
      </c>
      <c r="K126" s="5"/>
      <c r="L126" s="4"/>
      <c r="M126" s="7">
        <v>46211</v>
      </c>
      <c r="N126" s="8">
        <v>86</v>
      </c>
      <c r="O126" s="8">
        <v>64</v>
      </c>
      <c r="P126" s="8">
        <v>110</v>
      </c>
      <c r="Q126" s="8">
        <v>2</v>
      </c>
      <c r="R126" s="8">
        <v>2</v>
      </c>
      <c r="S126" s="4" t="s">
        <v>525</v>
      </c>
      <c r="T126" s="9">
        <v>36.3912896</v>
      </c>
      <c r="U126" s="9">
        <v>127.3130716</v>
      </c>
    </row>
    <row r="127" spans="1:21" ht="32.1" customHeight="1">
      <c r="A127" s="5" t="s">
        <v>36</v>
      </c>
      <c r="B127" s="5" t="s">
        <v>12</v>
      </c>
      <c r="C127" s="4" t="s">
        <v>585</v>
      </c>
      <c r="D127" s="4" t="s">
        <v>381</v>
      </c>
      <c r="E127" s="6">
        <v>65</v>
      </c>
      <c r="F127" s="4" t="s">
        <v>586</v>
      </c>
      <c r="G127" s="4" t="s">
        <v>587</v>
      </c>
      <c r="H127" s="4" t="s">
        <v>588</v>
      </c>
      <c r="I127" s="5" t="str">
        <f>HYPERLINK("https://search.naver.com/search.naver?where=blog&amp;query=%EC%9E%91%EA%B5%90+%EC%9C%A0%EC%84%B1%EA%B5%AC","블로그 보기")</f>
        <v>블로그 보기</v>
      </c>
      <c r="J127" s="5" t="str">
        <f>HYPERLINK("http://instagram.com/zak_kyo","업체 보기")</f>
        <v>업체 보기</v>
      </c>
      <c r="K127" s="5"/>
      <c r="L127" s="4"/>
      <c r="M127" s="7">
        <v>46219</v>
      </c>
      <c r="N127" s="8">
        <v>34</v>
      </c>
      <c r="O127" s="8">
        <v>93</v>
      </c>
      <c r="P127" s="8">
        <v>246</v>
      </c>
      <c r="Q127" s="8">
        <v>3</v>
      </c>
      <c r="R127" s="8">
        <v>2</v>
      </c>
      <c r="S127" s="4" t="s">
        <v>589</v>
      </c>
      <c r="T127" s="9">
        <v>36.361443000000001</v>
      </c>
      <c r="U127" s="9">
        <v>127.353757</v>
      </c>
    </row>
    <row r="128" spans="1:21" ht="32.1" customHeight="1">
      <c r="A128" s="5" t="s">
        <v>36</v>
      </c>
      <c r="B128" s="5" t="s">
        <v>12</v>
      </c>
      <c r="C128" s="4" t="s">
        <v>590</v>
      </c>
      <c r="D128" s="4" t="s">
        <v>231</v>
      </c>
      <c r="E128" s="6">
        <v>64</v>
      </c>
      <c r="F128" s="4" t="s">
        <v>56</v>
      </c>
      <c r="G128" s="4" t="s">
        <v>591</v>
      </c>
      <c r="H128" s="4" t="s">
        <v>592</v>
      </c>
      <c r="I128" s="5" t="str">
        <f>HYPERLINK("https://search.naver.com/search.naver?where=blog&amp;query=%EA%B3%A8%EB%AA%A9+%EC%9C%A0%EC%84%B1%EA%B5%AC","블로그 보기")</f>
        <v>블로그 보기</v>
      </c>
      <c r="J128" s="5"/>
      <c r="K128" s="5"/>
      <c r="L128" s="4"/>
      <c r="M128" s="7">
        <v>46223</v>
      </c>
      <c r="N128" s="8">
        <v>100</v>
      </c>
      <c r="O128" s="8">
        <v>63</v>
      </c>
      <c r="P128" s="8">
        <v>64779</v>
      </c>
      <c r="Q128" s="8">
        <v>2</v>
      </c>
      <c r="R128" s="8">
        <v>2</v>
      </c>
      <c r="S128" s="4" t="s">
        <v>557</v>
      </c>
      <c r="T128" s="9">
        <v>36.363031300000003</v>
      </c>
      <c r="U128" s="9">
        <v>127.35620160000001</v>
      </c>
    </row>
    <row r="129" spans="1:21" ht="32.1" customHeight="1">
      <c r="A129" s="5" t="s">
        <v>36</v>
      </c>
      <c r="B129" s="5" t="s">
        <v>12</v>
      </c>
      <c r="C129" s="4" t="s">
        <v>593</v>
      </c>
      <c r="D129" s="4" t="s">
        <v>96</v>
      </c>
      <c r="E129" s="6">
        <v>64</v>
      </c>
      <c r="F129" s="4" t="s">
        <v>45</v>
      </c>
      <c r="G129" s="4" t="s">
        <v>594</v>
      </c>
      <c r="H129" s="4" t="s">
        <v>595</v>
      </c>
      <c r="I129" s="5" t="str">
        <f>HYPERLINK("https://search.naver.com/search.naver?where=blog&amp;query=%EB%B6%80%EC%82%B0%EA%B0%88%EB%A7%A4%EA%B8%B0+%EB%8C%80%EC%A0%84%EB%B4%89%EB%AA%85%EC%A0%90+%EC%9C%A0%EC%84%B1%EA%B5%AC","블로그 보기")</f>
        <v>블로그 보기</v>
      </c>
      <c r="J129" s="5" t="str">
        <f>HYPERLINK("https://busanseagull.com","업체 보기")</f>
        <v>업체 보기</v>
      </c>
      <c r="K129" s="5"/>
      <c r="L129" s="4"/>
      <c r="M129" s="7">
        <v>46216</v>
      </c>
      <c r="N129" s="8">
        <v>100</v>
      </c>
      <c r="O129" s="8">
        <v>91</v>
      </c>
      <c r="P129" s="8">
        <v>687</v>
      </c>
      <c r="Q129" s="8">
        <v>2</v>
      </c>
      <c r="R129" s="8">
        <v>1</v>
      </c>
      <c r="S129" s="4" t="s">
        <v>596</v>
      </c>
      <c r="T129" s="9">
        <v>36.357112899999997</v>
      </c>
      <c r="U129" s="9">
        <v>127.3455053</v>
      </c>
    </row>
    <row r="130" spans="1:21" ht="32.1" customHeight="1">
      <c r="A130" s="5" t="s">
        <v>36</v>
      </c>
      <c r="B130" s="5" t="s">
        <v>12</v>
      </c>
      <c r="C130" s="4" t="s">
        <v>597</v>
      </c>
      <c r="D130" s="4" t="s">
        <v>38</v>
      </c>
      <c r="E130" s="6">
        <v>63</v>
      </c>
      <c r="F130" s="4" t="s">
        <v>39</v>
      </c>
      <c r="G130" s="4" t="s">
        <v>598</v>
      </c>
      <c r="H130" s="4" t="s">
        <v>599</v>
      </c>
      <c r="I130" s="5" t="str">
        <f>HYPERLINK("https://search.naver.com/search.naver?where=blog&amp;query=%EA%B6%81%EC%B9%BC%EA%B5%AD%EC%88%98+%EC%9C%A0%EC%84%B1%EA%B5%AC","블로그 보기")</f>
        <v>블로그 보기</v>
      </c>
      <c r="J130" s="5"/>
      <c r="K130" s="5"/>
      <c r="L130" s="4"/>
      <c r="M130" s="7">
        <v>46220</v>
      </c>
      <c r="N130" s="8">
        <v>100</v>
      </c>
      <c r="O130" s="8">
        <v>66</v>
      </c>
      <c r="P130" s="8">
        <v>325</v>
      </c>
      <c r="Q130" s="8">
        <v>2</v>
      </c>
      <c r="R130" s="8">
        <v>1</v>
      </c>
      <c r="S130" s="4" t="s">
        <v>600</v>
      </c>
      <c r="T130" s="9">
        <v>36.363466199999998</v>
      </c>
      <c r="U130" s="9">
        <v>127.3570024</v>
      </c>
    </row>
    <row r="131" spans="1:21" ht="32.1" customHeight="1">
      <c r="A131" s="5" t="s">
        <v>36</v>
      </c>
      <c r="B131" s="5" t="s">
        <v>12</v>
      </c>
      <c r="C131" s="4" t="s">
        <v>601</v>
      </c>
      <c r="D131" s="4" t="s">
        <v>210</v>
      </c>
      <c r="E131" s="6">
        <v>63</v>
      </c>
      <c r="F131" s="4" t="s">
        <v>126</v>
      </c>
      <c r="G131" s="4" t="s">
        <v>602</v>
      </c>
      <c r="H131" s="4" t="s">
        <v>603</v>
      </c>
      <c r="I131" s="5" t="str">
        <f>HYPERLINK("https://search.naver.com/search.naver?where=blog&amp;query=%EB%8F%99%EB%9E%98%EB%8F%BC%EC%A7%80%EA%B5%AD%EB%B0%A5%EC%88%98%EC%9C%A1+%EB%8C%80%EC%A0%84%EC%9C%A0%EC%84%B1%EB%B3%B8%EC%A0%90+%EC%9C%A0%EC%84%B1%EA%B5%AC","블로그 보기")</f>
        <v>블로그 보기</v>
      </c>
      <c r="J131" s="5"/>
      <c r="K131" s="5"/>
      <c r="L131" s="4"/>
      <c r="M131" s="7">
        <v>46222</v>
      </c>
      <c r="N131" s="8">
        <v>100</v>
      </c>
      <c r="O131" s="8">
        <v>96</v>
      </c>
      <c r="P131" s="8">
        <v>2033</v>
      </c>
      <c r="Q131" s="8">
        <v>1</v>
      </c>
      <c r="R131" s="8">
        <v>0</v>
      </c>
      <c r="S131" s="4" t="s">
        <v>570</v>
      </c>
      <c r="T131" s="9">
        <v>36.356752200000003</v>
      </c>
      <c r="U131" s="9">
        <v>127.3478994</v>
      </c>
    </row>
    <row r="132" spans="1:21" ht="32.1" customHeight="1">
      <c r="A132" s="5" t="s">
        <v>36</v>
      </c>
      <c r="B132" s="5" t="s">
        <v>12</v>
      </c>
      <c r="C132" s="4" t="s">
        <v>604</v>
      </c>
      <c r="D132" s="4" t="s">
        <v>38</v>
      </c>
      <c r="E132" s="6">
        <v>63</v>
      </c>
      <c r="F132" s="4" t="s">
        <v>605</v>
      </c>
      <c r="G132" s="4" t="s">
        <v>606</v>
      </c>
      <c r="H132" s="4" t="s">
        <v>607</v>
      </c>
      <c r="I132" s="5" t="str">
        <f>HYPERLINK("https://search.naver.com/search.naver?where=blog&amp;query=%EC%98%A4%EB%AA%A8%EB%A6%AC%EC%83%9D%EB%B0%94%EC%A7%80%EB%9D%BD%EC%86%90%EC%B9%BC%EA%B5%AD%EC%88%98+%EC%9C%A0%EC%84%B1%EA%B5%AC","블로그 보기")</f>
        <v>블로그 보기</v>
      </c>
      <c r="J132" s="5"/>
      <c r="K132" s="5"/>
      <c r="L132" s="4"/>
      <c r="M132" s="7">
        <v>46220</v>
      </c>
      <c r="N132" s="8">
        <v>76</v>
      </c>
      <c r="O132" s="8">
        <v>98</v>
      </c>
      <c r="P132" s="8">
        <v>325</v>
      </c>
      <c r="Q132" s="8">
        <v>2</v>
      </c>
      <c r="R132" s="8">
        <v>1</v>
      </c>
      <c r="S132" s="4" t="s">
        <v>580</v>
      </c>
      <c r="T132" s="9">
        <v>36.393869700000003</v>
      </c>
      <c r="U132" s="9">
        <v>127.31400910000001</v>
      </c>
    </row>
    <row r="133" spans="1:21" ht="32.1" customHeight="1">
      <c r="A133" s="5" t="s">
        <v>36</v>
      </c>
      <c r="B133" s="5" t="s">
        <v>12</v>
      </c>
      <c r="C133" s="4" t="s">
        <v>608</v>
      </c>
      <c r="D133" s="4" t="s">
        <v>38</v>
      </c>
      <c r="E133" s="6">
        <v>62</v>
      </c>
      <c r="F133" s="4" t="s">
        <v>609</v>
      </c>
      <c r="G133" s="4" t="s">
        <v>610</v>
      </c>
      <c r="H133" s="4" t="s">
        <v>611</v>
      </c>
      <c r="I133" s="5" t="str">
        <f>HYPERLINK("https://search.naver.com/search.naver?where=blog&amp;query=%EC%95%88%EA%B3%A8%EC%B9%BC%EA%B5%AD%EC%88%98+%EC%9C%A0%EC%84%B1%EA%B5%AC","블로그 보기")</f>
        <v>블로그 보기</v>
      </c>
      <c r="J133" s="5"/>
      <c r="K133" s="5"/>
      <c r="L133" s="4"/>
      <c r="M133" s="7">
        <v>46133</v>
      </c>
      <c r="N133" s="8">
        <v>15</v>
      </c>
      <c r="O133" s="8">
        <v>82</v>
      </c>
      <c r="P133" s="8">
        <v>142</v>
      </c>
      <c r="Q133" s="8">
        <v>2</v>
      </c>
      <c r="R133" s="8">
        <v>1</v>
      </c>
      <c r="S133" s="4" t="s">
        <v>612</v>
      </c>
      <c r="T133" s="9">
        <v>36.363630200000003</v>
      </c>
      <c r="U133" s="9">
        <v>127.3574117</v>
      </c>
    </row>
    <row r="134" spans="1:21" ht="32.1" customHeight="1">
      <c r="A134" s="5" t="s">
        <v>36</v>
      </c>
      <c r="B134" s="5" t="s">
        <v>12</v>
      </c>
      <c r="C134" s="4" t="s">
        <v>613</v>
      </c>
      <c r="D134" s="4" t="s">
        <v>181</v>
      </c>
      <c r="E134" s="6">
        <v>62</v>
      </c>
      <c r="F134" s="4" t="s">
        <v>45</v>
      </c>
      <c r="G134" s="4" t="s">
        <v>614</v>
      </c>
      <c r="H134" s="4" t="s">
        <v>615</v>
      </c>
      <c r="I134" s="5" t="str">
        <f>HYPERLINK("https://search.naver.com/search.naver?where=blog&amp;query=%ED%98%B8%EC%9A%B0%EC%84%AC+%EB%8C%80%EC%A0%84%EC%8B%A0%EC%84%B8%EA%B3%84Art%26Science%EC%A0%90+%EC%9C%A0%EC%84%B1%EA%B5%AC","블로그 보기")</f>
        <v>블로그 보기</v>
      </c>
      <c r="J134" s="5" t="str">
        <f>HYPERLINK("https://www.instagram.com/haosum_official","업체 보기")</f>
        <v>업체 보기</v>
      </c>
      <c r="K134" s="5"/>
      <c r="L134" s="4"/>
      <c r="M134" s="7">
        <v>46223</v>
      </c>
      <c r="N134" s="8">
        <v>100</v>
      </c>
      <c r="O134" s="8">
        <v>98</v>
      </c>
      <c r="P134" s="8">
        <v>10115</v>
      </c>
      <c r="Q134" s="8">
        <v>1</v>
      </c>
      <c r="R134" s="8">
        <v>1</v>
      </c>
      <c r="S134" s="4" t="s">
        <v>616</v>
      </c>
      <c r="T134" s="9">
        <v>36.375028100000002</v>
      </c>
      <c r="U134" s="9">
        <v>127.3822029</v>
      </c>
    </row>
    <row r="135" spans="1:21" ht="32.1" customHeight="1">
      <c r="A135" s="5" t="s">
        <v>36</v>
      </c>
      <c r="B135" s="5" t="s">
        <v>12</v>
      </c>
      <c r="C135" s="4" t="s">
        <v>617</v>
      </c>
      <c r="D135" s="4" t="s">
        <v>618</v>
      </c>
      <c r="E135" s="6">
        <v>61</v>
      </c>
      <c r="F135" s="4" t="s">
        <v>619</v>
      </c>
      <c r="G135" s="4" t="s">
        <v>620</v>
      </c>
      <c r="H135" s="4" t="s">
        <v>621</v>
      </c>
      <c r="I135" s="5" t="str">
        <f>HYPERLINK("https://search.naver.com/search.naver?where=blog&amp;query=%EC%9D%B5%EC%84%A0%EC%9E%A1%EB%B0%A9+%EB%8C%80%EC%A0%84%EC%8B%A0%EC%84%B8%EA%B3%84%EC%A0%90+%EC%9C%A0%EC%84%B1%EA%B5%AC","블로그 보기")</f>
        <v>블로그 보기</v>
      </c>
      <c r="J135" s="5" t="str">
        <f>HYPERLINK("https://www.instagram.com/ikseon_jabbang/","업체 보기")</f>
        <v>업체 보기</v>
      </c>
      <c r="K135" s="5"/>
      <c r="L135" s="4"/>
      <c r="M135" s="7">
        <v>46223</v>
      </c>
      <c r="N135" s="8">
        <v>93</v>
      </c>
      <c r="O135" s="8">
        <v>93</v>
      </c>
      <c r="P135" s="8">
        <v>1621</v>
      </c>
      <c r="Q135" s="8">
        <v>1</v>
      </c>
      <c r="R135" s="8">
        <v>1</v>
      </c>
      <c r="S135" s="4" t="s">
        <v>622</v>
      </c>
      <c r="T135" s="9">
        <v>36.3749137</v>
      </c>
      <c r="U135" s="9">
        <v>127.38140780000001</v>
      </c>
    </row>
    <row r="136" spans="1:21" ht="32.1" customHeight="1">
      <c r="A136" s="5" t="s">
        <v>36</v>
      </c>
      <c r="B136" s="5" t="s">
        <v>12</v>
      </c>
      <c r="C136" s="4" t="s">
        <v>623</v>
      </c>
      <c r="D136" s="4" t="s">
        <v>181</v>
      </c>
      <c r="E136" s="6">
        <v>60</v>
      </c>
      <c r="F136" s="4" t="s">
        <v>97</v>
      </c>
      <c r="G136" s="4" t="s">
        <v>624</v>
      </c>
      <c r="H136" s="4" t="s">
        <v>625</v>
      </c>
      <c r="I136" s="5" t="str">
        <f>HYPERLINK("https://search.naver.com/search.naver?where=blog&amp;query=%EC%9D%B4%EB%B9%84%EA%B0%80%EC%A7%AC%EB%BD%95+%EC%9C%A0%EC%84%B1%EB%B3%B8%EC%A0%90+%EC%9C%A0%EC%84%B1%EA%B5%AC","블로그 보기")</f>
        <v>블로그 보기</v>
      </c>
      <c r="J136" s="5" t="str">
        <f>HYPERLINK("http://www.ebiga.co.kr/","업체 보기")</f>
        <v>업체 보기</v>
      </c>
      <c r="K136" s="5"/>
      <c r="L136" s="4"/>
      <c r="M136" s="7">
        <v>46221</v>
      </c>
      <c r="N136" s="8">
        <v>100</v>
      </c>
      <c r="O136" s="8">
        <v>98</v>
      </c>
      <c r="P136" s="8">
        <v>783</v>
      </c>
      <c r="Q136" s="8">
        <v>1</v>
      </c>
      <c r="R136" s="8">
        <v>1</v>
      </c>
      <c r="S136" s="4" t="s">
        <v>616</v>
      </c>
      <c r="T136" s="9">
        <v>36.360466199999998</v>
      </c>
      <c r="U136" s="9">
        <v>127.34048749999999</v>
      </c>
    </row>
    <row r="137" spans="1:21" ht="32.1" customHeight="1">
      <c r="A137" s="5" t="s">
        <v>36</v>
      </c>
      <c r="B137" s="5" t="s">
        <v>12</v>
      </c>
      <c r="C137" s="4" t="s">
        <v>626</v>
      </c>
      <c r="D137" s="4" t="s">
        <v>65</v>
      </c>
      <c r="E137" s="6">
        <v>60</v>
      </c>
      <c r="F137" s="4" t="s">
        <v>190</v>
      </c>
      <c r="G137" s="4" t="s">
        <v>627</v>
      </c>
      <c r="H137" s="4" t="s">
        <v>628</v>
      </c>
      <c r="I137" s="5" t="str">
        <f>HYPERLINK("https://search.naver.com/search.naver?where=blog&amp;query=%EC%9E%84%EB%8F%84%ED%98%84%EC%9D%98+%EB%AA%A9%ED%8F%AC%ED%9A%9F%EC%A7%91+%EC%9C%A0%EC%84%B1%EA%B5%AC","블로그 보기")</f>
        <v>블로그 보기</v>
      </c>
      <c r="J137" s="5"/>
      <c r="K137" s="5"/>
      <c r="L137" s="4"/>
      <c r="M137" s="7">
        <v>46208</v>
      </c>
      <c r="N137" s="8">
        <v>16</v>
      </c>
      <c r="O137" s="8">
        <v>65</v>
      </c>
      <c r="P137" s="8">
        <v>71</v>
      </c>
      <c r="Q137" s="8">
        <v>3</v>
      </c>
      <c r="R137" s="8">
        <v>1</v>
      </c>
      <c r="S137" s="4" t="s">
        <v>589</v>
      </c>
      <c r="T137" s="9">
        <v>36.361892900000001</v>
      </c>
      <c r="U137" s="9">
        <v>127.353859</v>
      </c>
    </row>
    <row r="138" spans="1:21" ht="32.1" customHeight="1">
      <c r="A138" s="5" t="s">
        <v>36</v>
      </c>
      <c r="B138" s="5" t="s">
        <v>12</v>
      </c>
      <c r="C138" s="4" t="s">
        <v>629</v>
      </c>
      <c r="D138" s="4" t="s">
        <v>96</v>
      </c>
      <c r="E138" s="6">
        <v>59</v>
      </c>
      <c r="F138" s="4" t="s">
        <v>45</v>
      </c>
      <c r="G138" s="4" t="s">
        <v>630</v>
      </c>
      <c r="H138" s="4" t="s">
        <v>631</v>
      </c>
      <c r="I138" s="5" t="str">
        <f>HYPERLINK("https://search.naver.com/search.naver?where=blog&amp;query=%EA%B0%90%EC%AA%BD+%EB%8C%80%EC%A0%84%EB%B4%89%EB%AA%85%EC%A0%90+%EC%9C%A0%EC%84%B1%EA%B5%AC","블로그 보기")</f>
        <v>블로그 보기</v>
      </c>
      <c r="J138" s="5" t="str">
        <f>HYPERLINK("https://www.instagram.com/gamjjok_daejeon/","업체 보기")</f>
        <v>업체 보기</v>
      </c>
      <c r="K138" s="5"/>
      <c r="L138" s="4"/>
      <c r="M138" s="7">
        <v>46223</v>
      </c>
      <c r="N138" s="8">
        <v>100</v>
      </c>
      <c r="O138" s="8">
        <v>100</v>
      </c>
      <c r="P138" s="8">
        <v>163</v>
      </c>
      <c r="Q138" s="8">
        <v>2</v>
      </c>
      <c r="R138" s="8">
        <v>0</v>
      </c>
      <c r="S138" s="4" t="s">
        <v>632</v>
      </c>
      <c r="T138" s="9">
        <v>36.3572311</v>
      </c>
      <c r="U138" s="9">
        <v>127.3451554</v>
      </c>
    </row>
    <row r="139" spans="1:21" ht="32.1" customHeight="1">
      <c r="A139" s="5" t="s">
        <v>36</v>
      </c>
      <c r="B139" s="5" t="s">
        <v>12</v>
      </c>
      <c r="C139" s="4" t="s">
        <v>633</v>
      </c>
      <c r="D139" s="4" t="s">
        <v>634</v>
      </c>
      <c r="E139" s="6">
        <v>59</v>
      </c>
      <c r="F139" s="4" t="s">
        <v>39</v>
      </c>
      <c r="G139" s="4" t="s">
        <v>635</v>
      </c>
      <c r="H139" s="4" t="s">
        <v>636</v>
      </c>
      <c r="I139" s="5" t="str">
        <f>HYPERLINK("https://search.naver.com/search.naver?where=blog&amp;query=%EA%B3%B5%EC%A3%BC%EC%8C%8D%EC%8B%A0%EC%A7%91%EC%B9%BC%EA%B5%AD%EC%88%98+%EB%B0%A9%EB%8F%99%EC%A7%81%EC%98%81%EC%A0%90+%EC%9C%A0%EC%84%B1%EA%B5%AC","블로그 보기")</f>
        <v>블로그 보기</v>
      </c>
      <c r="J139" s="5" t="str">
        <f>HYPERLINK("https://app.catchtable.co.kr/ct/shop/gongju_ssangsinjip_kalguksu_bangdong?from=share&amp;type=WAITING","업체 보기")</f>
        <v>업체 보기</v>
      </c>
      <c r="K139" s="5"/>
      <c r="L139" s="4"/>
      <c r="M139" s="7">
        <v>46220</v>
      </c>
      <c r="N139" s="8">
        <v>100</v>
      </c>
      <c r="O139" s="8">
        <v>59</v>
      </c>
      <c r="P139" s="8">
        <v>315</v>
      </c>
      <c r="Q139" s="8">
        <v>1</v>
      </c>
      <c r="R139" s="8">
        <v>1</v>
      </c>
      <c r="S139" s="4" t="s">
        <v>517</v>
      </c>
      <c r="T139" s="9">
        <v>36.288648600000002</v>
      </c>
      <c r="U139" s="9">
        <v>127.3065617</v>
      </c>
    </row>
    <row r="140" spans="1:21" ht="32.1" customHeight="1">
      <c r="A140" s="5" t="s">
        <v>36</v>
      </c>
      <c r="B140" s="5" t="s">
        <v>12</v>
      </c>
      <c r="C140" s="4" t="s">
        <v>637</v>
      </c>
      <c r="D140" s="4" t="s">
        <v>141</v>
      </c>
      <c r="E140" s="6">
        <v>59</v>
      </c>
      <c r="F140" s="4" t="s">
        <v>45</v>
      </c>
      <c r="G140" s="4" t="s">
        <v>638</v>
      </c>
      <c r="H140" s="4" t="s">
        <v>639</v>
      </c>
      <c r="I140" s="5" t="str">
        <f>HYPERLINK("https://search.naver.com/search.naver?where=blog&amp;query=%EB%8B%A4%EB%A5%B4%EB%8B%A4%EA%B9%80%EB%B0%A5+%EB%8C%80%EC%A0%84%EC%8B%A0%EC%84%B8%EA%B3%84%EC%A0%90+%EC%9C%A0%EC%84%B1%EA%B5%AC","블로그 보기")</f>
        <v>블로그 보기</v>
      </c>
      <c r="J140" s="5" t="str">
        <f>HYPERLINK("https://www.instagram.com/darda.gram","업체 보기")</f>
        <v>업체 보기</v>
      </c>
      <c r="K140" s="5"/>
      <c r="L140" s="4"/>
      <c r="M140" s="7">
        <v>46223</v>
      </c>
      <c r="N140" s="8">
        <v>100</v>
      </c>
      <c r="O140" s="8">
        <v>98</v>
      </c>
      <c r="P140" s="8">
        <v>403</v>
      </c>
      <c r="Q140" s="8">
        <v>1</v>
      </c>
      <c r="R140" s="8">
        <v>1</v>
      </c>
      <c r="S140" s="4" t="s">
        <v>640</v>
      </c>
      <c r="T140" s="9">
        <v>36.374970400000002</v>
      </c>
      <c r="U140" s="9">
        <v>127.38127660000001</v>
      </c>
    </row>
    <row r="141" spans="1:21" ht="32.1" customHeight="1">
      <c r="A141" s="5" t="s">
        <v>36</v>
      </c>
      <c r="B141" s="5" t="s">
        <v>12</v>
      </c>
      <c r="C141" s="4" t="s">
        <v>641</v>
      </c>
      <c r="D141" s="4" t="s">
        <v>215</v>
      </c>
      <c r="E141" s="6">
        <v>59</v>
      </c>
      <c r="F141" s="4" t="s">
        <v>97</v>
      </c>
      <c r="G141" s="4" t="s">
        <v>642</v>
      </c>
      <c r="H141" s="4" t="s">
        <v>643</v>
      </c>
      <c r="I141" s="5" t="str">
        <f>HYPERLINK("https://search.naver.com/search.naver?where=blog&amp;query=%EB%8C%80%EA%B0%90%EB%A7%89%EC%B0%BD%EA%B0%88%EB%A7%A4%EA%B8%B0+%EC%A0%84%EB%AF%BC%EB%B3%B8%EC%A0%90+%EC%9C%A0%EC%84%B1%EA%B5%AC","블로그 보기")</f>
        <v>블로그 보기</v>
      </c>
      <c r="J141" s="5" t="str">
        <f>HYPERLINK("https://www.instagram.com/daegam_daejeon/profilecard/?igsh=dGdrM3NqZzhwdjVx","업체 보기")</f>
        <v>업체 보기</v>
      </c>
      <c r="K141" s="5"/>
      <c r="L141" s="4"/>
      <c r="M141" s="7">
        <v>46218</v>
      </c>
      <c r="N141" s="8">
        <v>100</v>
      </c>
      <c r="O141" s="8">
        <v>93</v>
      </c>
      <c r="P141" s="8">
        <v>236</v>
      </c>
      <c r="Q141" s="8">
        <v>1</v>
      </c>
      <c r="R141" s="8">
        <v>1</v>
      </c>
      <c r="S141" s="4" t="s">
        <v>644</v>
      </c>
      <c r="T141" s="9">
        <v>36.398825700000003</v>
      </c>
      <c r="U141" s="9">
        <v>127.40297</v>
      </c>
    </row>
    <row r="142" spans="1:21" ht="32.1" customHeight="1">
      <c r="A142" s="5" t="s">
        <v>36</v>
      </c>
      <c r="B142" s="5" t="s">
        <v>12</v>
      </c>
      <c r="C142" s="4" t="s">
        <v>645</v>
      </c>
      <c r="D142" s="4" t="s">
        <v>181</v>
      </c>
      <c r="E142" s="6">
        <v>59</v>
      </c>
      <c r="F142" s="4" t="s">
        <v>97</v>
      </c>
      <c r="G142" s="4" t="s">
        <v>646</v>
      </c>
      <c r="H142" s="4" t="s">
        <v>647</v>
      </c>
      <c r="I142" s="5" t="str">
        <f>HYPERLINK("https://search.naver.com/search.naver?where=blog&amp;query=%EB%A7%88%EC%8B%9C%EB%82%B4+%EB%B3%B8%EC%A0%90+%EC%9C%A0%EC%84%B1%EA%B5%AC","블로그 보기")</f>
        <v>블로그 보기</v>
      </c>
      <c r="J142" s="5" t="str">
        <f>HYPERLINK("https://www.instagram.com/masinae1_1996","업체 보기")</f>
        <v>업체 보기</v>
      </c>
      <c r="K142" s="5"/>
      <c r="L142" s="4"/>
      <c r="M142" s="7">
        <v>46219</v>
      </c>
      <c r="N142" s="8">
        <v>100</v>
      </c>
      <c r="O142" s="8">
        <v>96</v>
      </c>
      <c r="P142" s="8">
        <v>391</v>
      </c>
      <c r="Q142" s="8">
        <v>1</v>
      </c>
      <c r="R142" s="8">
        <v>1</v>
      </c>
      <c r="S142" s="4" t="s">
        <v>616</v>
      </c>
      <c r="T142" s="9">
        <v>36.360883700000002</v>
      </c>
      <c r="U142" s="9">
        <v>127.33751959999999</v>
      </c>
    </row>
    <row r="143" spans="1:21" ht="32.1" hidden="1" customHeight="1">
      <c r="A143" s="5" t="s">
        <v>1857</v>
      </c>
      <c r="B143" s="5" t="s">
        <v>12</v>
      </c>
      <c r="C143" s="4" t="s">
        <v>648</v>
      </c>
      <c r="D143" s="4" t="s">
        <v>150</v>
      </c>
      <c r="E143" s="6">
        <v>59</v>
      </c>
      <c r="F143" s="4" t="s">
        <v>45</v>
      </c>
      <c r="G143" s="4" t="s">
        <v>649</v>
      </c>
      <c r="H143" s="4" t="s">
        <v>650</v>
      </c>
      <c r="I143" s="5" t="str">
        <f>HYPERLINK("https://search.naver.com/search.naver?where=blog&amp;query=%EC%86%90%EC%9D%98%EC%86%90+%EB%8C%80%EC%A0%84%EB%B4%89%EB%AA%85%EC%A0%90+%EC%9C%A0%EC%84%B1%EA%B5%AC","블로그 보기")</f>
        <v>블로그 보기</v>
      </c>
      <c r="J143" s="5" t="str">
        <f>HYPERLINK("http://손의손.com/","업체 보기")</f>
        <v>업체 보기</v>
      </c>
      <c r="K143" s="5"/>
      <c r="L143" s="4"/>
      <c r="M143" s="7">
        <v>46222</v>
      </c>
      <c r="N143" s="8">
        <v>100</v>
      </c>
      <c r="O143" s="8">
        <v>89</v>
      </c>
      <c r="P143" s="8">
        <v>288</v>
      </c>
      <c r="Q143" s="8">
        <v>1</v>
      </c>
      <c r="R143" s="8">
        <v>1</v>
      </c>
      <c r="S143" s="4" t="s">
        <v>651</v>
      </c>
      <c r="T143" s="9">
        <v>36.352608099999998</v>
      </c>
      <c r="U143" s="9">
        <v>127.3404446</v>
      </c>
    </row>
    <row r="144" spans="1:21" ht="32.1" customHeight="1">
      <c r="A144" s="5" t="s">
        <v>36</v>
      </c>
      <c r="B144" s="5" t="s">
        <v>12</v>
      </c>
      <c r="C144" s="4" t="s">
        <v>652</v>
      </c>
      <c r="D144" s="4" t="s">
        <v>55</v>
      </c>
      <c r="E144" s="6">
        <v>59</v>
      </c>
      <c r="F144" s="4" t="s">
        <v>56</v>
      </c>
      <c r="G144" s="4" t="s">
        <v>653</v>
      </c>
      <c r="H144" s="4" t="s">
        <v>654</v>
      </c>
      <c r="I144" s="5" t="str">
        <f>HYPERLINK("https://search.naver.com/search.naver?where=blog&amp;query=%EC%B2%9C%EB%A6%AC%EC%A7%91+%EC%9C%A0%EC%84%B1%EA%B5%AC","블로그 보기")</f>
        <v>블로그 보기</v>
      </c>
      <c r="J144" s="5"/>
      <c r="K144" s="5"/>
      <c r="L144" s="4"/>
      <c r="M144" s="7">
        <v>46222</v>
      </c>
      <c r="N144" s="8">
        <v>100</v>
      </c>
      <c r="O144" s="8">
        <v>98</v>
      </c>
      <c r="P144" s="8">
        <v>761</v>
      </c>
      <c r="Q144" s="8">
        <v>2</v>
      </c>
      <c r="R144" s="8">
        <v>1</v>
      </c>
      <c r="S144" s="4" t="s">
        <v>570</v>
      </c>
      <c r="T144" s="9">
        <v>36.391839300000001</v>
      </c>
      <c r="U144" s="9">
        <v>127.35121460000001</v>
      </c>
    </row>
    <row r="145" spans="1:21" ht="32.1" customHeight="1">
      <c r="A145" s="5" t="s">
        <v>36</v>
      </c>
      <c r="B145" s="5" t="s">
        <v>12</v>
      </c>
      <c r="C145" s="4" t="s">
        <v>655</v>
      </c>
      <c r="D145" s="4" t="s">
        <v>136</v>
      </c>
      <c r="E145" s="6">
        <v>58</v>
      </c>
      <c r="F145" s="4" t="s">
        <v>311</v>
      </c>
      <c r="G145" s="4" t="s">
        <v>656</v>
      </c>
      <c r="H145" s="4" t="s">
        <v>657</v>
      </c>
      <c r="I145" s="5" t="str">
        <f>HYPERLINK("https://search.naver.com/search.naver?where=blog&amp;query=1987+%EC%8B%A0%EC%83%A4%EB%B8%8C+%EC%9C%A0%EC%84%B1%EA%B5%AC","블로그 보기")</f>
        <v>블로그 보기</v>
      </c>
      <c r="J145" s="5" t="str">
        <f>HYPERLINK("https://kbs대호왔대호2024.3.2방영","업체 보기")</f>
        <v>업체 보기</v>
      </c>
      <c r="K145" s="5"/>
      <c r="L145" s="4"/>
      <c r="M145" s="7">
        <v>46189</v>
      </c>
      <c r="N145" s="8">
        <v>42</v>
      </c>
      <c r="O145" s="8">
        <v>100</v>
      </c>
      <c r="P145" s="8">
        <v>239</v>
      </c>
      <c r="Q145" s="8">
        <v>2</v>
      </c>
      <c r="R145" s="8">
        <v>1</v>
      </c>
      <c r="S145" s="4" t="s">
        <v>600</v>
      </c>
      <c r="T145" s="9">
        <v>36.362767400000003</v>
      </c>
      <c r="U145" s="9">
        <v>127.3576048</v>
      </c>
    </row>
    <row r="146" spans="1:21" ht="32.1" customHeight="1">
      <c r="A146" s="5" t="s">
        <v>36</v>
      </c>
      <c r="B146" s="5" t="s">
        <v>12</v>
      </c>
      <c r="C146" s="4" t="s">
        <v>658</v>
      </c>
      <c r="D146" s="4" t="s">
        <v>38</v>
      </c>
      <c r="E146" s="6">
        <v>58</v>
      </c>
      <c r="F146" s="4" t="s">
        <v>39</v>
      </c>
      <c r="G146" s="4" t="s">
        <v>659</v>
      </c>
      <c r="H146" s="4" t="s">
        <v>660</v>
      </c>
      <c r="I146" s="5" t="str">
        <f>HYPERLINK("https://search.naver.com/search.naver?where=blog&amp;query=%EB%85%B8%EC%9D%80%EC%B9%BC%EA%B5%AD%EC%88%98+%EC%9C%A0%EC%84%B1%EA%B5%AC","블로그 보기")</f>
        <v>블로그 보기</v>
      </c>
      <c r="J146" s="5"/>
      <c r="K146" s="5"/>
      <c r="L146" s="4"/>
      <c r="M146" s="7">
        <v>46223</v>
      </c>
      <c r="N146" s="8">
        <v>100</v>
      </c>
      <c r="O146" s="8">
        <v>92</v>
      </c>
      <c r="P146" s="8">
        <v>2055</v>
      </c>
      <c r="Q146" s="8">
        <v>1</v>
      </c>
      <c r="R146" s="8">
        <v>0</v>
      </c>
      <c r="S146" s="4" t="s">
        <v>580</v>
      </c>
      <c r="T146" s="9">
        <v>36.375770000000003</v>
      </c>
      <c r="U146" s="9">
        <v>127.319785</v>
      </c>
    </row>
    <row r="147" spans="1:21" ht="32.1" customHeight="1">
      <c r="A147" s="5" t="s">
        <v>36</v>
      </c>
      <c r="B147" s="5" t="s">
        <v>12</v>
      </c>
      <c r="C147" s="4" t="s">
        <v>661</v>
      </c>
      <c r="D147" s="4" t="s">
        <v>38</v>
      </c>
      <c r="E147" s="6">
        <v>58</v>
      </c>
      <c r="F147" s="4" t="s">
        <v>39</v>
      </c>
      <c r="G147" s="4" t="s">
        <v>662</v>
      </c>
      <c r="H147" s="4" t="s">
        <v>663</v>
      </c>
      <c r="I147" s="5" t="str">
        <f>HYPERLINK("https://search.naver.com/search.naver?where=blog&amp;query=%EC%86%8D%ED%92%80%EC%9D%B4%EB%B6%80%EC%B6%94%EC%B9%BC%EA%B5%AD%EC%88%98%ED%99%A9%EC%A0%9C%EB%B3%B4%EC%8C%88%EC%9C%A0%EC%84%B1%EC%A0%90+%EC%9C%A0%EC%84%B1%EA%B5%AC","블로그 보기")</f>
        <v>블로그 보기</v>
      </c>
      <c r="J147" s="5" t="str">
        <f>HYPERLINK("http://010-2212-6680.ezbuilder.co.kr","업체 보기")</f>
        <v>업체 보기</v>
      </c>
      <c r="K147" s="5"/>
      <c r="L147" s="4"/>
      <c r="M147" s="7">
        <v>46220</v>
      </c>
      <c r="N147" s="8">
        <v>100</v>
      </c>
      <c r="O147" s="8">
        <v>93</v>
      </c>
      <c r="P147" s="8">
        <v>1001</v>
      </c>
      <c r="Q147" s="8">
        <v>1</v>
      </c>
      <c r="R147" s="8">
        <v>0</v>
      </c>
      <c r="S147" s="4" t="s">
        <v>517</v>
      </c>
      <c r="T147" s="9">
        <v>36.351283600000002</v>
      </c>
      <c r="U147" s="9">
        <v>127.33810560000001</v>
      </c>
    </row>
    <row r="148" spans="1:21" ht="32.1" hidden="1" customHeight="1">
      <c r="A148" s="5" t="s">
        <v>1857</v>
      </c>
      <c r="B148" s="5" t="s">
        <v>12</v>
      </c>
      <c r="C148" s="4" t="s">
        <v>664</v>
      </c>
      <c r="D148" s="4" t="s">
        <v>150</v>
      </c>
      <c r="E148" s="6">
        <v>58</v>
      </c>
      <c r="F148" s="4" t="s">
        <v>45</v>
      </c>
      <c r="G148" s="4" t="s">
        <v>665</v>
      </c>
      <c r="H148" s="4" t="s">
        <v>666</v>
      </c>
      <c r="I148" s="5" t="str">
        <f>HYPERLINK("https://search.naver.com/search.naver?where=blog&amp;query=%EC%86%90%EC%9D%98%EC%86%90+%EB%8C%80%EC%A0%84%EA%B4%80%ED%8F%89%EC%A0%90+%EC%9C%A0%EC%84%B1%EA%B5%AC","블로그 보기")</f>
        <v>블로그 보기</v>
      </c>
      <c r="J148" s="5" t="str">
        <f>HYPERLINK("https://blog.naver.com/sonofson_","업체 보기")</f>
        <v>업체 보기</v>
      </c>
      <c r="K148" s="5"/>
      <c r="L148" s="4"/>
      <c r="M148" s="7">
        <v>46220</v>
      </c>
      <c r="N148" s="8">
        <v>100</v>
      </c>
      <c r="O148" s="8">
        <v>93</v>
      </c>
      <c r="P148" s="8">
        <v>176</v>
      </c>
      <c r="Q148" s="8">
        <v>1</v>
      </c>
      <c r="R148" s="8">
        <v>1</v>
      </c>
      <c r="S148" s="4" t="s">
        <v>651</v>
      </c>
      <c r="T148" s="9">
        <v>36.4257019</v>
      </c>
      <c r="U148" s="9">
        <v>127.39238659999999</v>
      </c>
    </row>
    <row r="149" spans="1:21" ht="32.1" customHeight="1">
      <c r="A149" s="5" t="s">
        <v>36</v>
      </c>
      <c r="B149" s="5" t="s">
        <v>12</v>
      </c>
      <c r="C149" s="4" t="s">
        <v>667</v>
      </c>
      <c r="D149" s="4" t="s">
        <v>668</v>
      </c>
      <c r="E149" s="6">
        <v>58</v>
      </c>
      <c r="F149" s="4" t="s">
        <v>56</v>
      </c>
      <c r="G149" s="4" t="s">
        <v>669</v>
      </c>
      <c r="H149" s="4" t="s">
        <v>670</v>
      </c>
      <c r="I149" s="5" t="str">
        <f>HYPERLINK("https://search.naver.com/search.naver?where=blog&amp;query=%EC%8C%88%EC%9D%98+%EB%8C%80%EA%B0%80+%EC%9C%A0%EC%84%B1%EA%B5%AC","블로그 보기")</f>
        <v>블로그 보기</v>
      </c>
      <c r="J149" s="5"/>
      <c r="K149" s="5"/>
      <c r="L149" s="4"/>
      <c r="M149" s="7">
        <v>46220</v>
      </c>
      <c r="N149" s="8">
        <v>100</v>
      </c>
      <c r="O149" s="8">
        <v>97</v>
      </c>
      <c r="P149" s="8">
        <v>319</v>
      </c>
      <c r="Q149" s="8">
        <v>2</v>
      </c>
      <c r="R149" s="8">
        <v>1</v>
      </c>
      <c r="S149" s="4" t="s">
        <v>671</v>
      </c>
      <c r="T149" s="9">
        <v>36.3618211</v>
      </c>
      <c r="U149" s="9">
        <v>127.35495280000001</v>
      </c>
    </row>
    <row r="150" spans="1:21" ht="32.1" customHeight="1">
      <c r="A150" s="5" t="s">
        <v>36</v>
      </c>
      <c r="B150" s="5" t="s">
        <v>12</v>
      </c>
      <c r="C150" s="4" t="s">
        <v>672</v>
      </c>
      <c r="D150" s="4" t="s">
        <v>119</v>
      </c>
      <c r="E150" s="6">
        <v>58</v>
      </c>
      <c r="F150" s="4" t="s">
        <v>45</v>
      </c>
      <c r="G150" s="4" t="s">
        <v>673</v>
      </c>
      <c r="H150" s="4" t="s">
        <v>674</v>
      </c>
      <c r="I150" s="5" t="s">
        <v>675</v>
      </c>
      <c r="J150" s="5"/>
      <c r="K150" s="5"/>
      <c r="L150" s="4"/>
      <c r="M150" s="7">
        <v>46219</v>
      </c>
      <c r="N150" s="8">
        <v>100</v>
      </c>
      <c r="O150" s="8">
        <v>96</v>
      </c>
      <c r="P150" s="8">
        <v>1597</v>
      </c>
      <c r="Q150" s="8">
        <v>1</v>
      </c>
      <c r="R150" s="8">
        <v>0</v>
      </c>
      <c r="S150" s="4" t="s">
        <v>676</v>
      </c>
      <c r="T150" s="9">
        <v>36.423054999999998</v>
      </c>
      <c r="U150" s="9">
        <v>127.40081840000001</v>
      </c>
    </row>
    <row r="151" spans="1:21" ht="32.1" customHeight="1">
      <c r="A151" s="5" t="s">
        <v>36</v>
      </c>
      <c r="B151" s="5" t="s">
        <v>12</v>
      </c>
      <c r="C151" s="4" t="s">
        <v>677</v>
      </c>
      <c r="D151" s="4" t="s">
        <v>381</v>
      </c>
      <c r="E151" s="6">
        <v>57</v>
      </c>
      <c r="F151" s="4" t="s">
        <v>678</v>
      </c>
      <c r="G151" s="4" t="s">
        <v>679</v>
      </c>
      <c r="H151" s="4" t="s">
        <v>680</v>
      </c>
      <c r="I151" s="5" t="str">
        <f>HYPERLINK("https://search.naver.com/search.naver?where=blog&amp;query=%EC%98%A4%EC%82%AC%EC%B9%B4%EB%8D%B0%EC%8A%A4+%EB%8C%80%EC%A0%84%EB%B4%89%EB%AA%85%EC%A0%90+%EC%9C%A0%EC%84%B1%EA%B5%AC","블로그 보기")</f>
        <v>블로그 보기</v>
      </c>
      <c r="J151" s="5" t="str">
        <f>HYPERLINK("https://blog.naver.com/osakades_","업체 보기")</f>
        <v>업체 보기</v>
      </c>
      <c r="K151" s="5"/>
      <c r="L151" s="4"/>
      <c r="M151" s="7">
        <v>46209</v>
      </c>
      <c r="N151" s="8">
        <v>71</v>
      </c>
      <c r="O151" s="8">
        <v>97</v>
      </c>
      <c r="P151" s="8">
        <v>710</v>
      </c>
      <c r="Q151" s="8">
        <v>1</v>
      </c>
      <c r="R151" s="8">
        <v>0</v>
      </c>
      <c r="S151" s="4" t="s">
        <v>681</v>
      </c>
      <c r="T151" s="9">
        <v>36.357994300000001</v>
      </c>
      <c r="U151" s="9">
        <v>127.34497159999999</v>
      </c>
    </row>
    <row r="152" spans="1:21" ht="32.1" customHeight="1">
      <c r="A152" s="5" t="s">
        <v>36</v>
      </c>
      <c r="B152" s="5" t="s">
        <v>12</v>
      </c>
      <c r="C152" s="4" t="s">
        <v>682</v>
      </c>
      <c r="D152" s="4" t="s">
        <v>96</v>
      </c>
      <c r="E152" s="6">
        <v>57</v>
      </c>
      <c r="F152" s="4" t="s">
        <v>683</v>
      </c>
      <c r="G152" s="4" t="s">
        <v>684</v>
      </c>
      <c r="H152" s="4" t="s">
        <v>685</v>
      </c>
      <c r="I152" s="5" t="str">
        <f>HYPERLINK("https://search.naver.com/search.naver?where=blog&amp;query=%EC%9A%B0%EC%8B%9D%EC%9D%B4%EB%84%A4+%EC%88%99%EC%84%B1%EA%B4%80+%EB%B3%B8%EC%A0%90+%EC%9C%A0%EC%84%B1%EA%B5%AC","블로그 보기")</f>
        <v>블로그 보기</v>
      </c>
      <c r="J152" s="5"/>
      <c r="K152" s="5"/>
      <c r="L152" s="4"/>
      <c r="M152" s="7">
        <v>46166</v>
      </c>
      <c r="N152" s="8">
        <v>99</v>
      </c>
      <c r="O152" s="8">
        <v>93</v>
      </c>
      <c r="P152" s="8">
        <v>517</v>
      </c>
      <c r="Q152" s="8">
        <v>1</v>
      </c>
      <c r="R152" s="8">
        <v>0</v>
      </c>
      <c r="S152" s="4" t="s">
        <v>596</v>
      </c>
      <c r="T152" s="9">
        <v>36.376444900000003</v>
      </c>
      <c r="U152" s="9">
        <v>127.3948826</v>
      </c>
    </row>
    <row r="153" spans="1:21" ht="32.1" customHeight="1">
      <c r="A153" s="5" t="s">
        <v>36</v>
      </c>
      <c r="B153" s="5" t="s">
        <v>12</v>
      </c>
      <c r="C153" s="4" t="s">
        <v>686</v>
      </c>
      <c r="D153" s="4" t="s">
        <v>71</v>
      </c>
      <c r="E153" s="6">
        <v>57</v>
      </c>
      <c r="F153" s="4" t="s">
        <v>687</v>
      </c>
      <c r="G153" s="4" t="s">
        <v>688</v>
      </c>
      <c r="H153" s="4" t="s">
        <v>689</v>
      </c>
      <c r="I153" s="5" t="str">
        <f>HYPERLINK("https://search.naver.com/search.naver?where=blog&amp;query=%EC%9A%B4%ED%83%84+%EB%8C%80%EC%A0%84%EB%B4%89%EB%AA%85%EC%A0%90+%EC%9C%A0%EC%84%B1%EA%B5%AC","블로그 보기")</f>
        <v>블로그 보기</v>
      </c>
      <c r="J153" s="5"/>
      <c r="K153" s="5"/>
      <c r="L153" s="4"/>
      <c r="M153" s="7">
        <v>46211</v>
      </c>
      <c r="N153" s="8">
        <v>36</v>
      </c>
      <c r="O153" s="8">
        <v>85</v>
      </c>
      <c r="P153" s="8">
        <v>88</v>
      </c>
      <c r="Q153" s="8">
        <v>1</v>
      </c>
      <c r="R153" s="8">
        <v>1</v>
      </c>
      <c r="S153" s="4" t="s">
        <v>690</v>
      </c>
      <c r="T153" s="9">
        <v>36.358166300000001</v>
      </c>
      <c r="U153" s="9">
        <v>127.3508947</v>
      </c>
    </row>
    <row r="154" spans="1:21" ht="32.1" customHeight="1">
      <c r="A154" s="5" t="s">
        <v>36</v>
      </c>
      <c r="B154" s="5" t="s">
        <v>12</v>
      </c>
      <c r="C154" s="4" t="s">
        <v>691</v>
      </c>
      <c r="D154" s="4" t="s">
        <v>119</v>
      </c>
      <c r="E154" s="6">
        <v>57</v>
      </c>
      <c r="F154" s="4" t="s">
        <v>56</v>
      </c>
      <c r="G154" s="4" t="s">
        <v>692</v>
      </c>
      <c r="H154" s="4" t="s">
        <v>693</v>
      </c>
      <c r="I154" s="5" t="str">
        <f>HYPERLINK("https://search.naver.com/search.naver?where=blog&amp;query=%ED%98%95%EA%B3%BC%EC%95%84%EC%9A%B0%EB%88%84%EB%A3%BD%EC%A7%80%EC%82%BC%EA%B3%84%ED%83%95%26%EC%99%95%EA%B0%88%EB%B9%84%ED%83%95+%EB%8F%84%EB%A3%A1%EB%8F%99","블로그 보기")</f>
        <v>블로그 보기</v>
      </c>
      <c r="J154" s="5" t="str">
        <f>HYPERLINK("https://233.quv.kr/","업체 보기")</f>
        <v>업체 보기</v>
      </c>
      <c r="K154" s="5"/>
      <c r="L154" s="4"/>
      <c r="M154" s="7">
        <v>46223</v>
      </c>
      <c r="N154" s="8">
        <v>100</v>
      </c>
      <c r="O154" s="8">
        <v>97</v>
      </c>
      <c r="P154" s="8">
        <v>3497</v>
      </c>
      <c r="Q154" s="8">
        <v>1</v>
      </c>
      <c r="R154" s="8">
        <v>1</v>
      </c>
      <c r="S154" s="4" t="s">
        <v>676</v>
      </c>
      <c r="T154" s="9">
        <v>36.385255800000003</v>
      </c>
      <c r="U154" s="9">
        <v>127.3795769</v>
      </c>
    </row>
    <row r="155" spans="1:21" ht="32.1" customHeight="1">
      <c r="A155" s="5" t="s">
        <v>36</v>
      </c>
      <c r="B155" s="5" t="s">
        <v>12</v>
      </c>
      <c r="C155" s="4" t="s">
        <v>694</v>
      </c>
      <c r="D155" s="4" t="s">
        <v>354</v>
      </c>
      <c r="E155" s="6">
        <v>56</v>
      </c>
      <c r="F155" s="4" t="s">
        <v>45</v>
      </c>
      <c r="G155" s="4" t="s">
        <v>695</v>
      </c>
      <c r="H155" s="4" t="s">
        <v>696</v>
      </c>
      <c r="I155" s="5" t="str">
        <f>HYPERLINK("https://search.naver.com/search.naver?where=blog&amp;query=%EA%B3%A0%EC%B9%98%EC%86%8C%EC%82%AC%EB%A7%88+%EB%8C%80%EC%A0%84+%EB%B4%89%EB%AA%85+%EC%98%A8%EC%B2%9C%EB%8F%99","블로그 보기")</f>
        <v>블로그 보기</v>
      </c>
      <c r="J155" s="5" t="str">
        <f>HYPERLINK("http://www.instagram.com/gochisosama_","업체 보기")</f>
        <v>업체 보기</v>
      </c>
      <c r="K155" s="5"/>
      <c r="L155" s="4"/>
      <c r="M155" s="7">
        <v>46209</v>
      </c>
      <c r="N155" s="8">
        <v>100</v>
      </c>
      <c r="O155" s="8">
        <v>96</v>
      </c>
      <c r="P155" s="8">
        <v>225</v>
      </c>
      <c r="Q155" s="8">
        <v>1</v>
      </c>
      <c r="R155" s="8">
        <v>0</v>
      </c>
      <c r="S155" s="4" t="s">
        <v>681</v>
      </c>
      <c r="T155" s="9">
        <v>36.357246400000001</v>
      </c>
      <c r="U155" s="9">
        <v>127.3514911</v>
      </c>
    </row>
    <row r="156" spans="1:21" ht="32.1" customHeight="1">
      <c r="A156" s="5" t="s">
        <v>36</v>
      </c>
      <c r="B156" s="5" t="s">
        <v>12</v>
      </c>
      <c r="C156" s="4" t="s">
        <v>697</v>
      </c>
      <c r="D156" s="4" t="s">
        <v>231</v>
      </c>
      <c r="E156" s="6">
        <v>56</v>
      </c>
      <c r="F156" s="4" t="s">
        <v>698</v>
      </c>
      <c r="G156" s="4" t="s">
        <v>699</v>
      </c>
      <c r="H156" s="4" t="s">
        <v>700</v>
      </c>
      <c r="I156" s="5" t="str">
        <f>HYPERLINK("https://search.naver.com/search.naver?where=blog&amp;query=%EA%BF%80%EB%8F%BC%EC%A7%80%EB%8F%8C%ED%8C%90%EA%B5%AC%EC%9D%B4+%EC%9C%A0%EC%84%B1%EA%B5%AC","블로그 보기")</f>
        <v>블로그 보기</v>
      </c>
      <c r="J156" s="5"/>
      <c r="K156" s="5"/>
      <c r="L156" s="4"/>
      <c r="M156" s="7">
        <v>46190</v>
      </c>
      <c r="N156" s="8">
        <v>22</v>
      </c>
      <c r="O156" s="8">
        <v>25</v>
      </c>
      <c r="P156" s="8">
        <v>49</v>
      </c>
      <c r="Q156" s="8">
        <v>2</v>
      </c>
      <c r="R156" s="8">
        <v>1</v>
      </c>
      <c r="S156" s="4" t="s">
        <v>701</v>
      </c>
      <c r="T156" s="9">
        <v>36.361871899999997</v>
      </c>
      <c r="U156" s="9">
        <v>127.3537317</v>
      </c>
    </row>
    <row r="157" spans="1:21" ht="32.1" customHeight="1">
      <c r="A157" s="5" t="s">
        <v>36</v>
      </c>
      <c r="B157" s="5" t="s">
        <v>12</v>
      </c>
      <c r="C157" s="4" t="s">
        <v>702</v>
      </c>
      <c r="D157" s="4" t="s">
        <v>306</v>
      </c>
      <c r="E157" s="6">
        <v>56</v>
      </c>
      <c r="F157" s="4" t="s">
        <v>56</v>
      </c>
      <c r="G157" s="4" t="s">
        <v>703</v>
      </c>
      <c r="H157" s="4" t="s">
        <v>704</v>
      </c>
      <c r="I157" s="5" t="str">
        <f>HYPERLINK("https://search.naver.com/search.naver?where=blog&amp;query=%EB%B3%84%EB%A6%AC%EB%8B%AC%EB%A6%AC+%EB%B3%84%EB%8B%AC%EB%8F%88%EA%B9%8C%EC%8A%A4+%EA%B6%81%EB%8F%99%EC%A0%90+%EA%B6%81%EB%8F%99","블로그 보기")</f>
        <v>블로그 보기</v>
      </c>
      <c r="J157" s="5" t="str">
        <f>HYPERLINK("https://blog.naver.com/starmooncaffe/223277382909","업체 보기")</f>
        <v>업체 보기</v>
      </c>
      <c r="K157" s="5"/>
      <c r="L157" s="4"/>
      <c r="M157" s="7">
        <v>46220</v>
      </c>
      <c r="N157" s="8">
        <v>100</v>
      </c>
      <c r="O157" s="8">
        <v>84</v>
      </c>
      <c r="P157" s="8">
        <v>1233</v>
      </c>
      <c r="Q157" s="8">
        <v>1</v>
      </c>
      <c r="R157" s="8">
        <v>1</v>
      </c>
      <c r="S157" s="4" t="s">
        <v>681</v>
      </c>
      <c r="T157" s="9">
        <v>36.362878899999998</v>
      </c>
      <c r="U157" s="9">
        <v>127.3498012</v>
      </c>
    </row>
    <row r="158" spans="1:21" ht="32.1" customHeight="1">
      <c r="A158" s="5" t="s">
        <v>36</v>
      </c>
      <c r="B158" s="5" t="s">
        <v>12</v>
      </c>
      <c r="C158" s="4" t="s">
        <v>705</v>
      </c>
      <c r="D158" s="4" t="s">
        <v>381</v>
      </c>
      <c r="E158" s="6">
        <v>56</v>
      </c>
      <c r="F158" s="4" t="s">
        <v>97</v>
      </c>
      <c r="G158" s="4" t="s">
        <v>706</v>
      </c>
      <c r="H158" s="4" t="s">
        <v>707</v>
      </c>
      <c r="I158" s="5" t="str">
        <f>HYPERLINK("https://search.naver.com/search.naver?where=blog&amp;query=%EC%83%A4%EC%98%A4%EC%B0%A8%EC%9D%B4%EB%82%98+%EB%A3%B8+%EC%A4%91%EC%8B%9D%EC%A3%BC%EC%A0%90+%EA%B6%81%EB%8F%99%EB%B3%B8%EC%A0%90+%EC%9C%A0%EC%84%B1%EA%B5%AC","블로그 보기")</f>
        <v>블로그 보기</v>
      </c>
      <c r="J158" s="5" t="str">
        <f>HYPERLINK("https://www.instagram.com/xiaochina_","업체 보기")</f>
        <v>업체 보기</v>
      </c>
      <c r="K158" s="5"/>
      <c r="L158" s="4"/>
      <c r="M158" s="7">
        <v>46220</v>
      </c>
      <c r="N158" s="8">
        <v>100</v>
      </c>
      <c r="O158" s="8">
        <v>83</v>
      </c>
      <c r="P158" s="8">
        <v>325</v>
      </c>
      <c r="Q158" s="8">
        <v>1</v>
      </c>
      <c r="R158" s="8">
        <v>0</v>
      </c>
      <c r="S158" s="4" t="s">
        <v>651</v>
      </c>
      <c r="T158" s="9">
        <v>36.361841200000001</v>
      </c>
      <c r="U158" s="9">
        <v>127.3500444</v>
      </c>
    </row>
    <row r="159" spans="1:21" ht="32.1" customHeight="1">
      <c r="A159" s="5" t="s">
        <v>36</v>
      </c>
      <c r="B159" s="5" t="s">
        <v>12</v>
      </c>
      <c r="C159" s="4" t="s">
        <v>708</v>
      </c>
      <c r="D159" s="4" t="s">
        <v>339</v>
      </c>
      <c r="E159" s="6">
        <v>56</v>
      </c>
      <c r="F159" s="4" t="s">
        <v>97</v>
      </c>
      <c r="G159" s="4" t="s">
        <v>709</v>
      </c>
      <c r="H159" s="4" t="s">
        <v>710</v>
      </c>
      <c r="I159" s="5" t="str">
        <f>HYPERLINK("https://search.naver.com/search.naver?where=blog&amp;query=%EC%A0%84%EB%AF%BC%EC%97%84%EB%A7%88%EA%B9%80%EB%B0%A5+%EB%B3%B8%EC%A0%90+%EC%9C%A0%EC%84%B1%EA%B5%AC","블로그 보기")</f>
        <v>블로그 보기</v>
      </c>
      <c r="J159" s="5"/>
      <c r="K159" s="5"/>
      <c r="L159" s="4"/>
      <c r="M159" s="7">
        <v>46220</v>
      </c>
      <c r="N159" s="8">
        <v>100</v>
      </c>
      <c r="O159" s="8">
        <v>95</v>
      </c>
      <c r="P159" s="8">
        <v>422</v>
      </c>
      <c r="Q159" s="8">
        <v>1</v>
      </c>
      <c r="R159" s="8">
        <v>0</v>
      </c>
      <c r="S159" s="4" t="s">
        <v>640</v>
      </c>
      <c r="T159" s="9">
        <v>36.398825600000002</v>
      </c>
      <c r="U159" s="9">
        <v>127.400938</v>
      </c>
    </row>
    <row r="160" spans="1:21" ht="32.1" customHeight="1">
      <c r="A160" s="5" t="s">
        <v>36</v>
      </c>
      <c r="B160" s="5" t="s">
        <v>12</v>
      </c>
      <c r="C160" s="4" t="s">
        <v>711</v>
      </c>
      <c r="D160" s="4" t="s">
        <v>210</v>
      </c>
      <c r="E160" s="6">
        <v>56</v>
      </c>
      <c r="F160" s="4" t="s">
        <v>56</v>
      </c>
      <c r="G160" s="4" t="s">
        <v>712</v>
      </c>
      <c r="H160" s="4" t="s">
        <v>713</v>
      </c>
      <c r="I160" s="5" t="str">
        <f>HYPERLINK("https://search.naver.com/search.naver?where=blog&amp;query=%EC%A0%84%EC%A3%BC%EB%91%90%EB%A0%88%EB%B0%95%EC%BD%A9%EB%82%98%EB%AC%BC%EA%B5%AD%EB%B0%A5+%EC%9C%A0%EC%84%B1%EA%B5%AC","블로그 보기")</f>
        <v>블로그 보기</v>
      </c>
      <c r="J160" s="5"/>
      <c r="K160" s="5"/>
      <c r="L160" s="4"/>
      <c r="M160" s="7">
        <v>46221</v>
      </c>
      <c r="N160" s="8">
        <v>100</v>
      </c>
      <c r="O160" s="8">
        <v>94</v>
      </c>
      <c r="P160" s="8">
        <v>1677</v>
      </c>
      <c r="Q160" s="8">
        <v>1</v>
      </c>
      <c r="R160" s="8">
        <v>1</v>
      </c>
      <c r="S160" s="4" t="s">
        <v>580</v>
      </c>
      <c r="T160" s="9">
        <v>36.337565300000001</v>
      </c>
      <c r="U160" s="9">
        <v>127.3383717</v>
      </c>
    </row>
    <row r="161" spans="1:21" ht="32.1" customHeight="1">
      <c r="A161" s="5" t="s">
        <v>36</v>
      </c>
      <c r="B161" s="5" t="s">
        <v>12</v>
      </c>
      <c r="C161" s="4" t="s">
        <v>714</v>
      </c>
      <c r="D161" s="4" t="s">
        <v>71</v>
      </c>
      <c r="E161" s="6">
        <v>55</v>
      </c>
      <c r="F161" s="4" t="s">
        <v>715</v>
      </c>
      <c r="G161" s="4" t="s">
        <v>716</v>
      </c>
      <c r="H161" s="4" t="s">
        <v>717</v>
      </c>
      <c r="I161" s="5" t="str">
        <f>HYPERLINK("https://search.naver.com/search.naver?where=blog&amp;query=%EB%AA%A9%EB%8F%99%EC%B9%BC%EA%B5%AD%EC%88%98+%EA%B4%80%ED%8F%89%EC%A0%90+%EC%9C%A0%EC%84%B1%EA%B5%AC","블로그 보기")</f>
        <v>블로그 보기</v>
      </c>
      <c r="J161" s="5" t="str">
        <f>HYPERLINK("https://www.instagram.com/mokdong_kalguksu","업체 보기")</f>
        <v>업체 보기</v>
      </c>
      <c r="K161" s="5"/>
      <c r="L161" s="4"/>
      <c r="M161" s="7">
        <v>46220</v>
      </c>
      <c r="N161" s="8">
        <v>51</v>
      </c>
      <c r="O161" s="8">
        <v>52</v>
      </c>
      <c r="P161" s="8">
        <v>104</v>
      </c>
      <c r="Q161" s="8">
        <v>1</v>
      </c>
      <c r="R161" s="8">
        <v>0</v>
      </c>
      <c r="S161" s="4" t="s">
        <v>580</v>
      </c>
      <c r="T161" s="9">
        <v>36.422373200000003</v>
      </c>
      <c r="U161" s="9">
        <v>127.3930799</v>
      </c>
    </row>
    <row r="162" spans="1:21" ht="32.1" customHeight="1">
      <c r="A162" s="5" t="s">
        <v>36</v>
      </c>
      <c r="B162" s="5" t="s">
        <v>12</v>
      </c>
      <c r="C162" s="4" t="s">
        <v>718</v>
      </c>
      <c r="D162" s="4" t="s">
        <v>719</v>
      </c>
      <c r="E162" s="6">
        <v>55</v>
      </c>
      <c r="F162" s="4" t="s">
        <v>541</v>
      </c>
      <c r="G162" s="4" t="s">
        <v>720</v>
      </c>
      <c r="H162" s="4" t="s">
        <v>721</v>
      </c>
      <c r="I162" s="5" t="str">
        <f>HYPERLINK("https://search.naver.com/search.naver?where=blog&amp;query=%EB%AC%B4%EC%96%B4+%EC%9C%A0%EC%84%B1%EA%B5%AC","블로그 보기")</f>
        <v>블로그 보기</v>
      </c>
      <c r="J162" s="5" t="str">
        <f>HYPERLINK("http://instagram.com/moore__hs","업체 보기")</f>
        <v>업체 보기</v>
      </c>
      <c r="K162" s="5"/>
      <c r="L162" s="4"/>
      <c r="M162" s="7">
        <v>46218</v>
      </c>
      <c r="N162" s="8">
        <v>67</v>
      </c>
      <c r="O162" s="8">
        <v>93</v>
      </c>
      <c r="P162" s="8">
        <v>638</v>
      </c>
      <c r="Q162" s="8">
        <v>1</v>
      </c>
      <c r="R162" s="8">
        <v>1</v>
      </c>
      <c r="S162" s="4" t="s">
        <v>722</v>
      </c>
      <c r="T162" s="9">
        <v>36.363773500000001</v>
      </c>
      <c r="U162" s="9">
        <v>127.35754</v>
      </c>
    </row>
    <row r="163" spans="1:21" ht="32.1" customHeight="1">
      <c r="A163" s="5" t="s">
        <v>36</v>
      </c>
      <c r="B163" s="5" t="s">
        <v>12</v>
      </c>
      <c r="C163" s="4" t="s">
        <v>723</v>
      </c>
      <c r="D163" s="4" t="s">
        <v>220</v>
      </c>
      <c r="E163" s="6">
        <v>55</v>
      </c>
      <c r="F163" s="4" t="s">
        <v>56</v>
      </c>
      <c r="G163" s="4" t="s">
        <v>724</v>
      </c>
      <c r="H163" s="4" t="s">
        <v>725</v>
      </c>
      <c r="I163" s="5" t="str">
        <f>HYPERLINK("https://search.naver.com/search.naver?where=blog&amp;query=%EC%83%81%EB%AC%B4%EC%B4%88%EB%B0%A5+%EC%9C%A0%EC%84%B1%EC%A0%90+%EB%B4%89%EB%AA%85%EB%8F%99","블로그 보기")</f>
        <v>블로그 보기</v>
      </c>
      <c r="J163" s="5" t="str">
        <f>HYPERLINK("http://pf.kakao.com/_UxjxdCG","업체 보기")</f>
        <v>업체 보기</v>
      </c>
      <c r="K163" s="5"/>
      <c r="L163" s="4"/>
      <c r="M163" s="7">
        <v>46220</v>
      </c>
      <c r="N163" s="8">
        <v>100</v>
      </c>
      <c r="O163" s="8">
        <v>98</v>
      </c>
      <c r="P163" s="8">
        <v>950</v>
      </c>
      <c r="Q163" s="8">
        <v>1</v>
      </c>
      <c r="R163" s="8">
        <v>1</v>
      </c>
      <c r="S163" s="4" t="s">
        <v>681</v>
      </c>
      <c r="T163" s="9">
        <v>36.357486999999999</v>
      </c>
      <c r="U163" s="9">
        <v>127.3432607</v>
      </c>
    </row>
    <row r="164" spans="1:21" ht="32.1" customHeight="1">
      <c r="A164" s="5" t="s">
        <v>36</v>
      </c>
      <c r="B164" s="5" t="s">
        <v>12</v>
      </c>
      <c r="C164" s="4" t="s">
        <v>726</v>
      </c>
      <c r="D164" s="4" t="s">
        <v>727</v>
      </c>
      <c r="E164" s="6">
        <v>55</v>
      </c>
      <c r="F164" s="4" t="s">
        <v>56</v>
      </c>
      <c r="G164" s="4" t="s">
        <v>728</v>
      </c>
      <c r="H164" s="4" t="s">
        <v>729</v>
      </c>
      <c r="I164" s="5" t="str">
        <f>HYPERLINK("https://search.naver.com/search.naver?where=blog&amp;query=%EC%86%8C%EB%AC%B8%EB%82%9C%EB%96%A1%EB%B3%B6%EC%9D%B4+%EC%9C%A0%EC%84%B1%EA%B5%AC","블로그 보기")</f>
        <v>블로그 보기</v>
      </c>
      <c r="J164" s="5"/>
      <c r="K164" s="5"/>
      <c r="L164" s="4"/>
      <c r="M164" s="7">
        <v>46222</v>
      </c>
      <c r="N164" s="8">
        <v>100</v>
      </c>
      <c r="O164" s="8">
        <v>96</v>
      </c>
      <c r="P164" s="8">
        <v>758</v>
      </c>
      <c r="Q164" s="8">
        <v>1</v>
      </c>
      <c r="R164" s="8">
        <v>1</v>
      </c>
      <c r="S164" s="4" t="s">
        <v>640</v>
      </c>
      <c r="T164" s="9">
        <v>36.435130399999998</v>
      </c>
      <c r="U164" s="9">
        <v>127.3865033</v>
      </c>
    </row>
    <row r="165" spans="1:21" ht="32.1" customHeight="1">
      <c r="A165" s="5" t="s">
        <v>36</v>
      </c>
      <c r="B165" s="5" t="s">
        <v>12</v>
      </c>
      <c r="C165" s="4" t="s">
        <v>730</v>
      </c>
      <c r="D165" s="4" t="s">
        <v>727</v>
      </c>
      <c r="E165" s="6">
        <v>55</v>
      </c>
      <c r="F165" s="4" t="s">
        <v>56</v>
      </c>
      <c r="G165" s="4" t="s">
        <v>731</v>
      </c>
      <c r="H165" s="4" t="s">
        <v>732</v>
      </c>
      <c r="I165" s="5" t="str">
        <f>HYPERLINK("https://search.naver.com/search.naver?where=blog&amp;query=%EC%9C%A0%EC%84%B1%EC%A6%89%EC%84%9D%EB%96%A1%EB%B3%B6%EC%9D%B4+%EC%9C%A0%EC%84%B1%EA%B5%AC","블로그 보기")</f>
        <v>블로그 보기</v>
      </c>
      <c r="J165" s="5"/>
      <c r="K165" s="5"/>
      <c r="L165" s="4"/>
      <c r="M165" s="7">
        <v>46220</v>
      </c>
      <c r="N165" s="8">
        <v>100</v>
      </c>
      <c r="O165" s="8">
        <v>94</v>
      </c>
      <c r="P165" s="8">
        <v>704</v>
      </c>
      <c r="Q165" s="8">
        <v>1</v>
      </c>
      <c r="R165" s="8">
        <v>1</v>
      </c>
      <c r="S165" s="4" t="s">
        <v>640</v>
      </c>
      <c r="T165" s="9">
        <v>36.334541600000001</v>
      </c>
      <c r="U165" s="9">
        <v>127.3405796</v>
      </c>
    </row>
    <row r="166" spans="1:21" ht="32.1" customHeight="1">
      <c r="A166" s="5" t="s">
        <v>36</v>
      </c>
      <c r="B166" s="5" t="s">
        <v>12</v>
      </c>
      <c r="C166" s="4" t="s">
        <v>733</v>
      </c>
      <c r="D166" s="4" t="s">
        <v>125</v>
      </c>
      <c r="E166" s="6">
        <v>55</v>
      </c>
      <c r="F166" s="4" t="s">
        <v>56</v>
      </c>
      <c r="G166" s="4" t="s">
        <v>734</v>
      </c>
      <c r="H166" s="4" t="s">
        <v>735</v>
      </c>
      <c r="I166" s="5" t="str">
        <f>HYPERLINK("https://search.naver.com/search.naver?where=blog&amp;query=%EC%B9%BC%EC%A7%88%EB%A7%8C%EB%B2%88%EC%A7%AC%EB%BD%95+%EC%9C%A0%EC%84%B1%EB%85%B8%EC%9D%80%EC%97%AD+%EC%9C%A0%EC%84%B1%EA%B5%AC","블로그 보기")</f>
        <v>블로그 보기</v>
      </c>
      <c r="J166" s="5"/>
      <c r="K166" s="5"/>
      <c r="L166" s="4"/>
      <c r="M166" s="7">
        <v>46220</v>
      </c>
      <c r="N166" s="8">
        <v>100</v>
      </c>
      <c r="O166" s="8">
        <v>95</v>
      </c>
      <c r="P166" s="8">
        <v>638</v>
      </c>
      <c r="Q166" s="8">
        <v>1</v>
      </c>
      <c r="R166" s="8">
        <v>1</v>
      </c>
      <c r="S166" s="4" t="s">
        <v>616</v>
      </c>
      <c r="T166" s="9">
        <v>36.375482099999999</v>
      </c>
      <c r="U166" s="9">
        <v>127.31891950000001</v>
      </c>
    </row>
    <row r="167" spans="1:21" ht="32.1" customHeight="1">
      <c r="A167" s="5" t="s">
        <v>36</v>
      </c>
      <c r="B167" s="5" t="s">
        <v>12</v>
      </c>
      <c r="C167" s="4" t="s">
        <v>736</v>
      </c>
      <c r="D167" s="4" t="s">
        <v>136</v>
      </c>
      <c r="E167" s="6">
        <v>55</v>
      </c>
      <c r="F167" s="4" t="s">
        <v>56</v>
      </c>
      <c r="G167" s="4" t="s">
        <v>737</v>
      </c>
      <c r="H167" s="4" t="s">
        <v>738</v>
      </c>
      <c r="I167" s="5" t="str">
        <f>HYPERLINK("https://search.naver.com/search.naver?where=blog&amp;query=%ED%90%81%EB%8B%B9%EC%83%A4%EB%B8%8C+%EC%9C%A0%EC%84%B1%EC%A0%90+%EC%9C%A0%EC%84%B1%EA%B5%AC","블로그 보기")</f>
        <v>블로그 보기</v>
      </c>
      <c r="J167" s="5" t="str">
        <f>HYPERLINK("https://www.pongdangshabu.co.kr","업체 보기")</f>
        <v>업체 보기</v>
      </c>
      <c r="K167" s="5"/>
      <c r="L167" s="4"/>
      <c r="M167" s="7">
        <v>46223</v>
      </c>
      <c r="N167" s="8">
        <v>100</v>
      </c>
      <c r="O167" s="8">
        <v>98</v>
      </c>
      <c r="P167" s="8">
        <v>908</v>
      </c>
      <c r="Q167" s="8">
        <v>1</v>
      </c>
      <c r="R167" s="8">
        <v>1</v>
      </c>
      <c r="S167" s="4" t="s">
        <v>681</v>
      </c>
      <c r="T167" s="9">
        <v>36.357374</v>
      </c>
      <c r="U167" s="9">
        <v>127.34384540000001</v>
      </c>
    </row>
    <row r="168" spans="1:21" ht="32.1" customHeight="1">
      <c r="A168" s="5" t="s">
        <v>36</v>
      </c>
      <c r="B168" s="5" t="s">
        <v>12</v>
      </c>
      <c r="C168" s="4" t="s">
        <v>739</v>
      </c>
      <c r="D168" s="4" t="s">
        <v>71</v>
      </c>
      <c r="E168" s="6">
        <v>55</v>
      </c>
      <c r="F168" s="4" t="s">
        <v>45</v>
      </c>
      <c r="G168" s="4" t="s">
        <v>740</v>
      </c>
      <c r="H168" s="4" t="s">
        <v>741</v>
      </c>
      <c r="I168" s="5" t="str">
        <f>HYPERLINK("https://search.naver.com/search.naver?where=blog&amp;query=%ED%91%B8%EA%B3%A0+%EB%8C%80%EC%A0%84%EA%B4%80%ED%8F%89%EC%A0%90+%EC%9C%A0%EC%84%B1%EA%B5%AC","블로그 보기")</f>
        <v>블로그 보기</v>
      </c>
      <c r="J168" s="5"/>
      <c r="K168" s="5"/>
      <c r="L168" s="4"/>
      <c r="M168" s="7">
        <v>46219</v>
      </c>
      <c r="N168" s="8">
        <v>100</v>
      </c>
      <c r="O168" s="8">
        <v>99</v>
      </c>
      <c r="P168" s="8">
        <v>125</v>
      </c>
      <c r="Q168" s="8">
        <v>1</v>
      </c>
      <c r="R168" s="8">
        <v>0</v>
      </c>
      <c r="S168" s="4" t="s">
        <v>742</v>
      </c>
      <c r="T168" s="9">
        <v>36.425615999999998</v>
      </c>
      <c r="U168" s="9">
        <v>127.3924196</v>
      </c>
    </row>
    <row r="169" spans="1:21" ht="32.1" customHeight="1">
      <c r="A169" s="5" t="s">
        <v>36</v>
      </c>
      <c r="B169" s="5" t="s">
        <v>12</v>
      </c>
      <c r="C169" s="4" t="s">
        <v>743</v>
      </c>
      <c r="D169" s="4" t="s">
        <v>744</v>
      </c>
      <c r="E169" s="6">
        <v>55</v>
      </c>
      <c r="F169" s="4" t="s">
        <v>56</v>
      </c>
      <c r="G169" s="4" t="s">
        <v>745</v>
      </c>
      <c r="H169" s="4" t="s">
        <v>746</v>
      </c>
      <c r="I169" s="5" t="str">
        <f>HYPERLINK("https://search.naver.com/search.naver?where=blog&amp;query=%ED%98%B8%ED%85%94+%EC%98%A4%EB%85%B8%EB%A7%88+%ED%83%80%EC%9A%B4%ED%95%98%EC%9A%B0%EC%8A%A4+%EC%9C%A0%EC%84%B1%EA%B5%AC","블로그 보기")</f>
        <v>블로그 보기</v>
      </c>
      <c r="J169" s="5" t="str">
        <f>HYPERLINK("https://www.instagram.com/hotelonoma","업체 보기")</f>
        <v>업체 보기</v>
      </c>
      <c r="K169" s="5"/>
      <c r="L169" s="4"/>
      <c r="M169" s="7">
        <v>46221</v>
      </c>
      <c r="N169" s="8">
        <v>100</v>
      </c>
      <c r="O169" s="8">
        <v>95</v>
      </c>
      <c r="P169" s="8">
        <v>624</v>
      </c>
      <c r="Q169" s="8">
        <v>1</v>
      </c>
      <c r="R169" s="8">
        <v>1</v>
      </c>
      <c r="S169" s="4" t="s">
        <v>616</v>
      </c>
      <c r="T169" s="9">
        <v>36.374890600000001</v>
      </c>
      <c r="U169" s="9">
        <v>127.3833412</v>
      </c>
    </row>
    <row r="170" spans="1:21" ht="32.1" customHeight="1">
      <c r="A170" s="5" t="s">
        <v>36</v>
      </c>
      <c r="B170" s="5" t="s">
        <v>12</v>
      </c>
      <c r="C170" s="4" t="s">
        <v>747</v>
      </c>
      <c r="D170" s="4" t="s">
        <v>226</v>
      </c>
      <c r="E170" s="6">
        <v>54</v>
      </c>
      <c r="F170" s="4" t="s">
        <v>56</v>
      </c>
      <c r="G170" s="4" t="s">
        <v>748</v>
      </c>
      <c r="H170" s="4" t="s">
        <v>749</v>
      </c>
      <c r="I170" s="5" t="str">
        <f>HYPERLINK("https://search.naver.com/search.naver?where=blog&amp;query=%EC%83%81%ED%95%98%EC%9D%B4%EC%96%91%EA%BC%AC%EC%B9%98%EC%96%91%EA%B0%88%EB%B9%84+%EA%B4%80%ED%8F%89%EC%A0%90+%EC%9C%A0%EC%84%B1%EA%B5%AC","블로그 보기")</f>
        <v>블로그 보기</v>
      </c>
      <c r="J170" s="5"/>
      <c r="K170" s="5"/>
      <c r="L170" s="4"/>
      <c r="M170" s="7">
        <v>46222</v>
      </c>
      <c r="N170" s="8">
        <v>100</v>
      </c>
      <c r="O170" s="8">
        <v>100</v>
      </c>
      <c r="P170" s="8">
        <v>3571</v>
      </c>
      <c r="Q170" s="8">
        <v>1</v>
      </c>
      <c r="R170" s="8">
        <v>0</v>
      </c>
      <c r="S170" s="4" t="s">
        <v>622</v>
      </c>
      <c r="T170" s="9">
        <v>36.424303700000003</v>
      </c>
      <c r="U170" s="9">
        <v>127.3919156</v>
      </c>
    </row>
    <row r="171" spans="1:21" ht="32.1" customHeight="1">
      <c r="A171" s="5" t="s">
        <v>36</v>
      </c>
      <c r="B171" s="5" t="s">
        <v>12</v>
      </c>
      <c r="C171" s="4" t="s">
        <v>750</v>
      </c>
      <c r="D171" s="4" t="s">
        <v>119</v>
      </c>
      <c r="E171" s="6">
        <v>54</v>
      </c>
      <c r="F171" s="4" t="s">
        <v>56</v>
      </c>
      <c r="G171" s="4" t="s">
        <v>751</v>
      </c>
      <c r="H171" s="4" t="s">
        <v>752</v>
      </c>
      <c r="I171" s="5" t="str">
        <f>HYPERLINK("https://search.naver.com/search.naver?where=blog&amp;query=%EC%9C%A0%EC%94%A8%EB%84%A4%EB%B3%B8%EA%B0%80%EB%88%84%EB%A3%BD%EC%A7%80%EC%82%BC%EA%B3%84%ED%83%95+%EC%9C%A0%EC%84%B1%EC%A0%90+%EC%9C%A0%EC%84%B1%EA%B5%AC","블로그 보기")</f>
        <v>블로그 보기</v>
      </c>
      <c r="J171" s="5"/>
      <c r="K171" s="5"/>
      <c r="L171" s="4"/>
      <c r="M171" s="7">
        <v>46221</v>
      </c>
      <c r="N171" s="8">
        <v>100</v>
      </c>
      <c r="O171" s="8">
        <v>98</v>
      </c>
      <c r="P171" s="8">
        <v>207</v>
      </c>
      <c r="Q171" s="8">
        <v>2</v>
      </c>
      <c r="R171" s="8">
        <v>0</v>
      </c>
      <c r="S171" s="4" t="s">
        <v>632</v>
      </c>
      <c r="T171" s="9">
        <v>36.359623599999999</v>
      </c>
      <c r="U171" s="9">
        <v>127.33631680000001</v>
      </c>
    </row>
    <row r="172" spans="1:21" ht="32.1" customHeight="1">
      <c r="A172" s="5" t="s">
        <v>36</v>
      </c>
      <c r="B172" s="5" t="s">
        <v>12</v>
      </c>
      <c r="C172" s="4" t="s">
        <v>753</v>
      </c>
      <c r="D172" s="4" t="s">
        <v>248</v>
      </c>
      <c r="E172" s="6">
        <v>53</v>
      </c>
      <c r="F172" s="4" t="s">
        <v>56</v>
      </c>
      <c r="G172" s="4" t="s">
        <v>754</v>
      </c>
      <c r="H172" s="4" t="s">
        <v>755</v>
      </c>
      <c r="I172" s="5" t="str">
        <f>HYPERLINK("https://search.naver.com/search.naver?where=blog&amp;query=%EB%8C%80%EB%B0%95%ED%91%B8%EB%93%9C+%EC%9C%A0%EC%84%B1%EA%B5%AC","블로그 보기")</f>
        <v>블로그 보기</v>
      </c>
      <c r="J172" s="5"/>
      <c r="K172" s="5"/>
      <c r="L172" s="4"/>
      <c r="M172" s="7">
        <v>46222</v>
      </c>
      <c r="N172" s="8">
        <v>100</v>
      </c>
      <c r="O172" s="8">
        <v>91</v>
      </c>
      <c r="P172" s="8">
        <v>1185</v>
      </c>
      <c r="Q172" s="8">
        <v>1</v>
      </c>
      <c r="R172" s="8">
        <v>0</v>
      </c>
      <c r="S172" s="4" t="s">
        <v>640</v>
      </c>
      <c r="T172" s="9">
        <v>36.424277099999998</v>
      </c>
      <c r="U172" s="9">
        <v>127.39250319999999</v>
      </c>
    </row>
    <row r="173" spans="1:21" ht="32.1" customHeight="1">
      <c r="A173" s="5" t="s">
        <v>36</v>
      </c>
      <c r="B173" s="5" t="s">
        <v>12</v>
      </c>
      <c r="C173" s="4" t="s">
        <v>756</v>
      </c>
      <c r="D173" s="4" t="s">
        <v>71</v>
      </c>
      <c r="E173" s="6">
        <v>53</v>
      </c>
      <c r="F173" s="4" t="s">
        <v>757</v>
      </c>
      <c r="G173" s="4" t="s">
        <v>758</v>
      </c>
      <c r="H173" s="4" t="s">
        <v>759</v>
      </c>
      <c r="I173" s="5" t="str">
        <f>HYPERLINK("https://search.naver.com/search.naver?where=blog&amp;query=%EB%91%90%EB%A0%88%EC%A0%95%EC%96%BC%ED%81%B0%ED%95%9C%EC%B9%BC%EA%B5%AD%EC%88%98+%EC%9C%A0%EC%84%B1%EA%B5%AC","블로그 보기")</f>
        <v>블로그 보기</v>
      </c>
      <c r="J173" s="5"/>
      <c r="K173" s="5"/>
      <c r="L173" s="4"/>
      <c r="M173" s="7">
        <v>46198</v>
      </c>
      <c r="N173" s="8">
        <v>17</v>
      </c>
      <c r="O173" s="8">
        <v>27</v>
      </c>
      <c r="P173" s="8">
        <v>28</v>
      </c>
      <c r="Q173" s="8">
        <v>1</v>
      </c>
      <c r="R173" s="8">
        <v>0</v>
      </c>
      <c r="S173" s="4" t="s">
        <v>760</v>
      </c>
      <c r="T173" s="9">
        <v>36.358612800000003</v>
      </c>
      <c r="U173" s="9">
        <v>127.3390259</v>
      </c>
    </row>
    <row r="174" spans="1:21" ht="32.1" customHeight="1">
      <c r="A174" s="5" t="s">
        <v>36</v>
      </c>
      <c r="B174" s="5" t="s">
        <v>12</v>
      </c>
      <c r="C174" s="4" t="s">
        <v>761</v>
      </c>
      <c r="D174" s="4" t="s">
        <v>762</v>
      </c>
      <c r="E174" s="6">
        <v>53</v>
      </c>
      <c r="F174" s="4" t="s">
        <v>236</v>
      </c>
      <c r="G174" s="4" t="s">
        <v>763</v>
      </c>
      <c r="H174" s="4" t="s">
        <v>764</v>
      </c>
      <c r="I174" s="5" t="str">
        <f>HYPERLINK("https://search.naver.com/search.naver?where=blog&amp;query=%EB%B2%A0%EB%84%A4%ED%8C%8C%EC%8A%A4%ED%83%80%ED%95%98%EC%9A%B0%EC%8A%A4+%EC%9C%A0%EC%84%B1%EA%B5%AC","블로그 보기")</f>
        <v>블로그 보기</v>
      </c>
      <c r="J174" s="5" t="str">
        <f>HYPERLINK("https://www.instagram.com/benepastahouse","업체 보기")</f>
        <v>업체 보기</v>
      </c>
      <c r="K174" s="5"/>
      <c r="L174" s="4"/>
      <c r="M174" s="7">
        <v>46187</v>
      </c>
      <c r="N174" s="8">
        <v>27</v>
      </c>
      <c r="O174" s="8">
        <v>90</v>
      </c>
      <c r="P174" s="8">
        <v>100</v>
      </c>
      <c r="Q174" s="8">
        <v>1</v>
      </c>
      <c r="R174" s="8">
        <v>1</v>
      </c>
      <c r="S174" s="4" t="s">
        <v>563</v>
      </c>
      <c r="T174" s="9">
        <v>36.363721400000003</v>
      </c>
      <c r="U174" s="9">
        <v>127.3586105</v>
      </c>
    </row>
    <row r="175" spans="1:21" ht="32.1" customHeight="1">
      <c r="A175" s="5" t="s">
        <v>36</v>
      </c>
      <c r="B175" s="5" t="s">
        <v>12</v>
      </c>
      <c r="C175" s="4" t="s">
        <v>765</v>
      </c>
      <c r="D175" s="4" t="s">
        <v>136</v>
      </c>
      <c r="E175" s="6">
        <v>53</v>
      </c>
      <c r="F175" s="4" t="s">
        <v>766</v>
      </c>
      <c r="G175" s="4" t="s">
        <v>767</v>
      </c>
      <c r="H175" s="4" t="s">
        <v>768</v>
      </c>
      <c r="I175" s="5" t="str">
        <f>HYPERLINK("https://search.naver.com/search.naver?where=blog&amp;query=%EC%83%A4%EB%B8%8C%ED%96%A5+%EA%B4%80%ED%8F%89%EC%A0%90+%EC%9C%A0%EC%84%B1%EA%B5%AC","블로그 보기")</f>
        <v>블로그 보기</v>
      </c>
      <c r="J175" s="5" t="str">
        <f>HYPERLINK("http://instagram.com/hong_jeemin","업체 보기")</f>
        <v>업체 보기</v>
      </c>
      <c r="K175" s="5"/>
      <c r="L175" s="4"/>
      <c r="M175" s="7">
        <v>46218</v>
      </c>
      <c r="N175" s="8">
        <v>61</v>
      </c>
      <c r="O175" s="8">
        <v>94</v>
      </c>
      <c r="P175" s="8">
        <v>180</v>
      </c>
      <c r="Q175" s="8">
        <v>1</v>
      </c>
      <c r="R175" s="8">
        <v>1</v>
      </c>
      <c r="S175" s="4" t="s">
        <v>517</v>
      </c>
      <c r="T175" s="9">
        <v>36.426371600000003</v>
      </c>
      <c r="U175" s="9">
        <v>127.3917526</v>
      </c>
    </row>
    <row r="176" spans="1:21" ht="32.1" customHeight="1">
      <c r="A176" s="5" t="s">
        <v>36</v>
      </c>
      <c r="B176" s="5" t="s">
        <v>12</v>
      </c>
      <c r="C176" s="4" t="s">
        <v>769</v>
      </c>
      <c r="D176" s="4" t="s">
        <v>770</v>
      </c>
      <c r="E176" s="6">
        <v>53</v>
      </c>
      <c r="F176" s="4" t="s">
        <v>771</v>
      </c>
      <c r="G176" s="4" t="s">
        <v>772</v>
      </c>
      <c r="H176" s="4" t="s">
        <v>773</v>
      </c>
      <c r="I176" s="5" t="str">
        <f>HYPERLINK("https://search.naver.com/search.naver?where=blog&amp;query=%EC%9C%A0%EC%84%B1+%EC%86%A5%EB%9A%9C%EA%BB%91+%EB%B3%B8%EA%B0%80+%EC%88%98%ED%94%BC%EC%95%84+%EA%B0%91%EB%8F%99","블로그 보기")</f>
        <v>블로그 보기</v>
      </c>
      <c r="J176" s="5" t="str">
        <f>HYPERLINK("https://www.instagram.com/han_supia","업체 보기")</f>
        <v>업체 보기</v>
      </c>
      <c r="K176" s="5"/>
      <c r="L176" s="4"/>
      <c r="M176" s="7">
        <v>46222</v>
      </c>
      <c r="N176" s="8">
        <v>64</v>
      </c>
      <c r="O176" s="8">
        <v>96</v>
      </c>
      <c r="P176" s="8">
        <v>108</v>
      </c>
      <c r="Q176" s="8">
        <v>1</v>
      </c>
      <c r="R176" s="8">
        <v>1</v>
      </c>
      <c r="S176" s="4" t="s">
        <v>676</v>
      </c>
      <c r="T176" s="9">
        <v>36.362182699999998</v>
      </c>
      <c r="U176" s="9">
        <v>127.2865852</v>
      </c>
    </row>
    <row r="177" spans="1:21" ht="32.1" customHeight="1">
      <c r="A177" s="5" t="s">
        <v>36</v>
      </c>
      <c r="B177" s="5" t="s">
        <v>12</v>
      </c>
      <c r="C177" s="4" t="s">
        <v>774</v>
      </c>
      <c r="D177" s="4" t="s">
        <v>125</v>
      </c>
      <c r="E177" s="6">
        <v>53</v>
      </c>
      <c r="F177" s="4" t="s">
        <v>775</v>
      </c>
      <c r="G177" s="4" t="s">
        <v>776</v>
      </c>
      <c r="H177" s="4" t="s">
        <v>777</v>
      </c>
      <c r="I177" s="5" t="str">
        <f>HYPERLINK("https://search.naver.com/search.naver?where=blog&amp;query=%EC%B4%88%EC%8B%AC+%EB%8C%80%EC%A0%84%EC%8B%A0%EC%84%B1%EC%A0%90+%EC%9C%A0%EC%84%B1%EA%B5%AC","블로그 보기")</f>
        <v>블로그 보기</v>
      </c>
      <c r="J177" s="5"/>
      <c r="K177" s="5"/>
      <c r="L177" s="4"/>
      <c r="M177" s="7">
        <v>46215</v>
      </c>
      <c r="N177" s="8">
        <v>24</v>
      </c>
      <c r="O177" s="8">
        <v>36</v>
      </c>
      <c r="P177" s="8">
        <v>37</v>
      </c>
      <c r="Q177" s="8">
        <v>1</v>
      </c>
      <c r="R177" s="8">
        <v>0</v>
      </c>
      <c r="S177" s="4" t="s">
        <v>616</v>
      </c>
      <c r="T177" s="9">
        <v>36.391579399999998</v>
      </c>
      <c r="U177" s="9">
        <v>127.35004499999999</v>
      </c>
    </row>
    <row r="178" spans="1:21" ht="32.1" customHeight="1">
      <c r="A178" s="5" t="s">
        <v>36</v>
      </c>
      <c r="B178" s="5" t="s">
        <v>12</v>
      </c>
      <c r="C178" s="4" t="s">
        <v>778</v>
      </c>
      <c r="D178" s="4" t="s">
        <v>381</v>
      </c>
      <c r="E178" s="6">
        <v>53</v>
      </c>
      <c r="F178" s="4" t="s">
        <v>775</v>
      </c>
      <c r="G178" s="4" t="s">
        <v>779</v>
      </c>
      <c r="H178" s="4" t="s">
        <v>780</v>
      </c>
      <c r="I178" s="5" t="str">
        <f>HYPERLINK("https://search.naver.com/search.naver?where=blog&amp;query=%ED%8F%89%ED%99%94%EB%A1%9C%EC%9A%B4%EC%A7%91+%EB%8C%80%EC%A0%84%EB%B4%89%EB%AA%85%EC%A0%90+%EC%9C%A0%EC%84%B1%EA%B5%AC","블로그 보기")</f>
        <v>블로그 보기</v>
      </c>
      <c r="J178" s="5" t="str">
        <f>HYPERLINK("https://www.instagram.com/pyeonghwarounjip?igsh=MXN4NGdvMm04Y2h2dQ==","업체 보기")</f>
        <v>업체 보기</v>
      </c>
      <c r="K178" s="5"/>
      <c r="L178" s="4"/>
      <c r="M178" s="7">
        <v>46140</v>
      </c>
      <c r="N178" s="8">
        <v>24</v>
      </c>
      <c r="O178" s="8">
        <v>37</v>
      </c>
      <c r="P178" s="8">
        <v>37</v>
      </c>
      <c r="Q178" s="8">
        <v>1</v>
      </c>
      <c r="R178" s="8">
        <v>0</v>
      </c>
      <c r="S178" s="4" t="s">
        <v>651</v>
      </c>
      <c r="T178" s="9">
        <v>36.358744399999999</v>
      </c>
      <c r="U178" s="9">
        <v>127.344239</v>
      </c>
    </row>
    <row r="179" spans="1:21" ht="32.1" customHeight="1">
      <c r="A179" s="5" t="s">
        <v>36</v>
      </c>
      <c r="B179" s="5" t="s">
        <v>12</v>
      </c>
      <c r="C179" s="4" t="s">
        <v>781</v>
      </c>
      <c r="D179" s="4" t="s">
        <v>782</v>
      </c>
      <c r="E179" s="6">
        <v>53</v>
      </c>
      <c r="F179" s="4" t="s">
        <v>56</v>
      </c>
      <c r="G179" s="4" t="s">
        <v>783</v>
      </c>
      <c r="H179" s="4" t="s">
        <v>784</v>
      </c>
      <c r="I179" s="5" t="str">
        <f>HYPERLINK("https://search.naver.com/search.naver?where=blog&amp;query=%ED%95%9C%EB%A7%88%EC%9D%8C%EC%A0%95%EC%9C%A1%EC%8B%9D%EB%8B%B9+%EC%96%B4%EC%9D%80%EC%A0%90+%EC%9C%A0%EC%84%B1%EA%B5%AC","블로그 보기")</f>
        <v>블로그 보기</v>
      </c>
      <c r="J179" s="5"/>
      <c r="K179" s="5"/>
      <c r="L179" s="4"/>
      <c r="M179" s="7">
        <v>46222</v>
      </c>
      <c r="N179" s="8">
        <v>100</v>
      </c>
      <c r="O179" s="8">
        <v>96</v>
      </c>
      <c r="P179" s="8">
        <v>1700</v>
      </c>
      <c r="Q179" s="8">
        <v>1</v>
      </c>
      <c r="R179" s="8">
        <v>0</v>
      </c>
      <c r="S179" s="4" t="s">
        <v>785</v>
      </c>
      <c r="T179" s="9">
        <v>36.362416600000003</v>
      </c>
      <c r="U179" s="9">
        <v>127.3574551</v>
      </c>
    </row>
    <row r="180" spans="1:21" ht="32.1" customHeight="1">
      <c r="A180" s="5" t="s">
        <v>36</v>
      </c>
      <c r="B180" s="5" t="s">
        <v>12</v>
      </c>
      <c r="C180" s="4" t="s">
        <v>786</v>
      </c>
      <c r="D180" s="4" t="s">
        <v>170</v>
      </c>
      <c r="E180" s="6">
        <v>53</v>
      </c>
      <c r="F180" s="4" t="s">
        <v>447</v>
      </c>
      <c r="G180" s="4" t="s">
        <v>787</v>
      </c>
      <c r="H180" s="4" t="s">
        <v>788</v>
      </c>
      <c r="I180" s="5" t="str">
        <f>HYPERLINK("https://search.naver.com/search.naver?where=blog&amp;query=%ED%99%A9%EC%84%9C%EC%98%A5+%EC%9C%A0%EC%84%B1%EA%B5%AC","블로그 보기")</f>
        <v>블로그 보기</v>
      </c>
      <c r="J180" s="5"/>
      <c r="K180" s="5"/>
      <c r="L180" s="4"/>
      <c r="M180" s="7">
        <v>46218</v>
      </c>
      <c r="N180" s="8">
        <v>24</v>
      </c>
      <c r="O180" s="8">
        <v>95</v>
      </c>
      <c r="P180" s="8">
        <v>200</v>
      </c>
      <c r="Q180" s="8">
        <v>1</v>
      </c>
      <c r="R180" s="8">
        <v>1</v>
      </c>
      <c r="S180" s="4" t="s">
        <v>570</v>
      </c>
      <c r="T180" s="9">
        <v>36.347731000000003</v>
      </c>
      <c r="U180" s="9">
        <v>127.2965007</v>
      </c>
    </row>
    <row r="181" spans="1:21" ht="32.1" hidden="1" customHeight="1">
      <c r="A181" s="5" t="s">
        <v>1857</v>
      </c>
      <c r="B181" s="5" t="s">
        <v>12</v>
      </c>
      <c r="C181" s="4" t="s">
        <v>789</v>
      </c>
      <c r="D181" s="4" t="s">
        <v>210</v>
      </c>
      <c r="E181" s="6">
        <v>52</v>
      </c>
      <c r="F181" s="4" t="s">
        <v>56</v>
      </c>
      <c r="G181" s="4" t="s">
        <v>790</v>
      </c>
      <c r="H181" s="4" t="s">
        <v>791</v>
      </c>
      <c r="I181" s="5" t="str">
        <f>HYPERLINK("https://search.naver.com/search.naver?where=blog&amp;query=%EA%B0%95%EB%82%A8%EA%B5%AD%EB%B0%A5+%EC%9C%A0%EC%84%B1%EA%B5%AC","블로그 보기")</f>
        <v>블로그 보기</v>
      </c>
      <c r="J181" s="5"/>
      <c r="K181" s="5"/>
      <c r="L181" s="4"/>
      <c r="M181" s="7">
        <v>46189</v>
      </c>
      <c r="N181" s="8">
        <v>100</v>
      </c>
      <c r="O181" s="8">
        <v>72</v>
      </c>
      <c r="P181" s="8">
        <v>594</v>
      </c>
      <c r="Q181" s="8">
        <v>1</v>
      </c>
      <c r="R181" s="8">
        <v>0</v>
      </c>
      <c r="S181" s="4" t="s">
        <v>671</v>
      </c>
      <c r="T181" s="9">
        <v>36.3629958</v>
      </c>
      <c r="U181" s="9">
        <v>127.3573458</v>
      </c>
    </row>
    <row r="182" spans="1:21" ht="32.1" customHeight="1">
      <c r="A182" s="5" t="s">
        <v>36</v>
      </c>
      <c r="B182" s="5" t="s">
        <v>12</v>
      </c>
      <c r="C182" s="4" t="s">
        <v>792</v>
      </c>
      <c r="D182" s="4" t="s">
        <v>96</v>
      </c>
      <c r="E182" s="6">
        <v>52</v>
      </c>
      <c r="F182" s="4" t="s">
        <v>56</v>
      </c>
      <c r="G182" s="4" t="s">
        <v>793</v>
      </c>
      <c r="H182" s="4" t="s">
        <v>794</v>
      </c>
      <c r="I182" s="5" t="str">
        <f>HYPERLINK("https://search.naver.com/search.naver?where=blog&amp;query=%EA%B3%A0%EA%B8%B0%EB%AA%85%EC%9E%91+%EB%B4%89%EB%AA%85%EC%A7%81%EC%98%81%EC%A0%90+%EC%9C%A0%EC%84%B1%EA%B5%AC","블로그 보기")</f>
        <v>블로그 보기</v>
      </c>
      <c r="J182" s="5" t="str">
        <f>HYPERLINK("https://www.instagram.com/only_myungjak","업체 보기")</f>
        <v>업체 보기</v>
      </c>
      <c r="K182" s="5"/>
      <c r="L182" s="4"/>
      <c r="M182" s="7">
        <v>46223</v>
      </c>
      <c r="N182" s="8">
        <v>100</v>
      </c>
      <c r="O182" s="8">
        <v>98</v>
      </c>
      <c r="P182" s="8">
        <v>609</v>
      </c>
      <c r="Q182" s="8">
        <v>1</v>
      </c>
      <c r="R182" s="8">
        <v>0</v>
      </c>
      <c r="S182" s="4" t="s">
        <v>596</v>
      </c>
      <c r="T182" s="9">
        <v>36.358680999999997</v>
      </c>
      <c r="U182" s="9">
        <v>127.3469753</v>
      </c>
    </row>
    <row r="183" spans="1:21" ht="32.1" customHeight="1">
      <c r="A183" s="5" t="s">
        <v>36</v>
      </c>
      <c r="B183" s="5" t="s">
        <v>12</v>
      </c>
      <c r="C183" s="4" t="s">
        <v>795</v>
      </c>
      <c r="D183" s="4" t="s">
        <v>96</v>
      </c>
      <c r="E183" s="6">
        <v>52</v>
      </c>
      <c r="F183" s="4" t="s">
        <v>56</v>
      </c>
      <c r="G183" s="4" t="s">
        <v>796</v>
      </c>
      <c r="H183" s="4" t="s">
        <v>797</v>
      </c>
      <c r="I183" s="5" t="str">
        <f>HYPERLINK("https://search.naver.com/search.naver?where=blog&amp;query=%EB%8C%80%EA%B5%AC%EB%A7%89%EC%B0%BD+%EC%9C%A0%EC%84%B1%EA%B5%AC","블로그 보기")</f>
        <v>블로그 보기</v>
      </c>
      <c r="J183" s="5"/>
      <c r="K183" s="5"/>
      <c r="L183" s="4"/>
      <c r="M183" s="7">
        <v>46211</v>
      </c>
      <c r="N183" s="8">
        <v>100</v>
      </c>
      <c r="O183" s="8">
        <v>97</v>
      </c>
      <c r="P183" s="8">
        <v>607</v>
      </c>
      <c r="Q183" s="8">
        <v>1</v>
      </c>
      <c r="R183" s="8">
        <v>0</v>
      </c>
      <c r="S183" s="4" t="s">
        <v>785</v>
      </c>
      <c r="T183" s="9">
        <v>36.362152199999997</v>
      </c>
      <c r="U183" s="9">
        <v>127.3537359</v>
      </c>
    </row>
    <row r="184" spans="1:21" ht="32.1" customHeight="1">
      <c r="A184" s="5" t="s">
        <v>36</v>
      </c>
      <c r="B184" s="5" t="s">
        <v>12</v>
      </c>
      <c r="C184" s="4" t="s">
        <v>798</v>
      </c>
      <c r="D184" s="4" t="s">
        <v>354</v>
      </c>
      <c r="E184" s="6">
        <v>52</v>
      </c>
      <c r="F184" s="4" t="s">
        <v>56</v>
      </c>
      <c r="G184" s="4" t="s">
        <v>799</v>
      </c>
      <c r="H184" s="4" t="s">
        <v>800</v>
      </c>
      <c r="I184" s="5" t="str">
        <f>HYPERLINK("https://search.naver.com/search.naver?where=blog&amp;query=%EB%AA%A8%EC%BF%A0%EC%9A%94%EB%B9%84+%EC%9D%BC%EB%B3%B8%EC%8B%9D+%EB%8D%AE%EB%B0%A5+%EB%B4%89%EB%AA%85%EC%A0%90+%EC%9C%A0%EC%84%B1%EA%B5%AC","블로그 보기")</f>
        <v>블로그 보기</v>
      </c>
      <c r="J184" s="5"/>
      <c r="K184" s="5"/>
      <c r="L184" s="4"/>
      <c r="M184" s="7">
        <v>46223</v>
      </c>
      <c r="N184" s="8">
        <v>100</v>
      </c>
      <c r="O184" s="8">
        <v>98</v>
      </c>
      <c r="P184" s="8">
        <v>588</v>
      </c>
      <c r="Q184" s="8">
        <v>1</v>
      </c>
      <c r="R184" s="8">
        <v>0</v>
      </c>
      <c r="S184" s="4" t="s">
        <v>681</v>
      </c>
      <c r="T184" s="9">
        <v>36.358744399999999</v>
      </c>
      <c r="U184" s="9">
        <v>127.344239</v>
      </c>
    </row>
    <row r="185" spans="1:21" ht="32.1" customHeight="1">
      <c r="A185" s="5" t="s">
        <v>36</v>
      </c>
      <c r="B185" s="5" t="s">
        <v>12</v>
      </c>
      <c r="C185" s="4" t="s">
        <v>801</v>
      </c>
      <c r="D185" s="4" t="s">
        <v>96</v>
      </c>
      <c r="E185" s="6">
        <v>52</v>
      </c>
      <c r="F185" s="4" t="s">
        <v>56</v>
      </c>
      <c r="G185" s="4" t="s">
        <v>802</v>
      </c>
      <c r="H185" s="4" t="s">
        <v>803</v>
      </c>
      <c r="I185" s="5" t="str">
        <f>HYPERLINK("https://search.naver.com/search.naver?where=blog&amp;query=%EB%AF%B8%EB%82%98%EB%A6%AC%EC%82%BC%EA%B2%B9%EC%82%B4+%EC%9C%A0%EC%84%B1%EA%B5%AC","블로그 보기")</f>
        <v>블로그 보기</v>
      </c>
      <c r="J185" s="5"/>
      <c r="K185" s="5"/>
      <c r="L185" s="4"/>
      <c r="M185" s="7">
        <v>46221</v>
      </c>
      <c r="N185" s="8">
        <v>100</v>
      </c>
      <c r="O185" s="8">
        <v>98</v>
      </c>
      <c r="P185" s="8">
        <v>571</v>
      </c>
      <c r="Q185" s="8">
        <v>1</v>
      </c>
      <c r="R185" s="8">
        <v>0</v>
      </c>
      <c r="S185" s="4" t="s">
        <v>785</v>
      </c>
      <c r="T185" s="9">
        <v>36.3636701</v>
      </c>
      <c r="U185" s="9">
        <v>127.3573816</v>
      </c>
    </row>
    <row r="186" spans="1:21" ht="32.1" customHeight="1">
      <c r="A186" s="5" t="s">
        <v>36</v>
      </c>
      <c r="B186" s="5" t="s">
        <v>12</v>
      </c>
      <c r="C186" s="4" t="s">
        <v>804</v>
      </c>
      <c r="D186" s="4" t="s">
        <v>354</v>
      </c>
      <c r="E186" s="6">
        <v>52</v>
      </c>
      <c r="F186" s="4" t="s">
        <v>805</v>
      </c>
      <c r="G186" s="4" t="s">
        <v>806</v>
      </c>
      <c r="H186" s="4" t="s">
        <v>807</v>
      </c>
      <c r="I186" s="5" t="str">
        <f>HYPERLINK("https://search.naver.com/search.naver?where=blog&amp;query=%EB%B0%B1%EC%86%8C%EC%A0%95+%EB%8C%80%EC%A0%84%EB%85%B8%EC%9D%80%EC%A0%90+%EC%9C%A0%EC%84%B1%EA%B5%AC","블로그 보기")</f>
        <v>블로그 보기</v>
      </c>
      <c r="J186" s="5" t="str">
        <f>HYPERLINK("https://baeksojeong.com/","업체 보기")</f>
        <v>업체 보기</v>
      </c>
      <c r="K186" s="5"/>
      <c r="L186" s="4"/>
      <c r="M186" s="7">
        <v>46150</v>
      </c>
      <c r="N186" s="8">
        <v>2</v>
      </c>
      <c r="O186" s="8">
        <v>24</v>
      </c>
      <c r="P186" s="8">
        <v>25</v>
      </c>
      <c r="Q186" s="8">
        <v>2</v>
      </c>
      <c r="R186" s="8">
        <v>2</v>
      </c>
      <c r="S186" s="4" t="s">
        <v>808</v>
      </c>
      <c r="T186" s="9">
        <v>36.3753423</v>
      </c>
      <c r="U186" s="9">
        <v>127.31948680000001</v>
      </c>
    </row>
    <row r="187" spans="1:21" ht="32.1" customHeight="1">
      <c r="A187" s="5" t="s">
        <v>36</v>
      </c>
      <c r="B187" s="5" t="s">
        <v>12</v>
      </c>
      <c r="C187" s="4" t="s">
        <v>809</v>
      </c>
      <c r="D187" s="4" t="s">
        <v>65</v>
      </c>
      <c r="E187" s="6">
        <v>52</v>
      </c>
      <c r="F187" s="4" t="s">
        <v>56</v>
      </c>
      <c r="G187" s="4" t="s">
        <v>810</v>
      </c>
      <c r="H187" s="4" t="s">
        <v>811</v>
      </c>
      <c r="I187" s="5" t="str">
        <f>HYPERLINK("https://search.naver.com/search.naver?where=blog&amp;query=%EC%88%A8%EC%9D%80+%EB%8B%AC%EC%9D%B8+%ED%9A%9F%EC%A7%91+%EB%AC%BC%ED%9A%8C+%EC%9C%A0%EC%84%B1%EA%B5%AC","블로그 보기")</f>
        <v>블로그 보기</v>
      </c>
      <c r="J187" s="5"/>
      <c r="K187" s="5"/>
      <c r="L187" s="4"/>
      <c r="M187" s="7">
        <v>46221</v>
      </c>
      <c r="N187" s="8">
        <v>100</v>
      </c>
      <c r="O187" s="8">
        <v>97</v>
      </c>
      <c r="P187" s="8">
        <v>517</v>
      </c>
      <c r="Q187" s="8">
        <v>1</v>
      </c>
      <c r="R187" s="8">
        <v>0</v>
      </c>
      <c r="S187" s="4" t="s">
        <v>722</v>
      </c>
      <c r="T187" s="9">
        <v>36.361788099999998</v>
      </c>
      <c r="U187" s="9">
        <v>127.35332560000001</v>
      </c>
    </row>
    <row r="188" spans="1:21" ht="32.1" customHeight="1">
      <c r="A188" s="5" t="s">
        <v>36</v>
      </c>
      <c r="B188" s="5" t="s">
        <v>12</v>
      </c>
      <c r="C188" s="4" t="s">
        <v>812</v>
      </c>
      <c r="D188" s="4" t="s">
        <v>44</v>
      </c>
      <c r="E188" s="6">
        <v>52</v>
      </c>
      <c r="F188" s="4" t="s">
        <v>56</v>
      </c>
      <c r="G188" s="4" t="s">
        <v>813</v>
      </c>
      <c r="H188" s="4" t="s">
        <v>814</v>
      </c>
      <c r="I188" s="5" t="str">
        <f>HYPERLINK("https://search.naver.com/search.naver?where=blog&amp;query=%ED%95%9C%EB%A7%88%EC%9D%8C+%EB%83%89%EB%A9%B4+%EC%9C%A0%EC%84%B1%EA%B5%AC","블로그 보기")</f>
        <v>블로그 보기</v>
      </c>
      <c r="J188" s="5"/>
      <c r="K188" s="5"/>
      <c r="L188" s="4"/>
      <c r="M188" s="7">
        <v>46223</v>
      </c>
      <c r="N188" s="8">
        <v>100</v>
      </c>
      <c r="O188" s="8">
        <v>92</v>
      </c>
      <c r="P188" s="8">
        <v>790</v>
      </c>
      <c r="Q188" s="8">
        <v>1</v>
      </c>
      <c r="R188" s="8">
        <v>0</v>
      </c>
      <c r="S188" s="4" t="s">
        <v>815</v>
      </c>
      <c r="T188" s="9">
        <v>36.2984759</v>
      </c>
      <c r="U188" s="9">
        <v>127.3184911</v>
      </c>
    </row>
    <row r="189" spans="1:21" ht="32.1" customHeight="1">
      <c r="A189" s="5" t="s">
        <v>36</v>
      </c>
      <c r="B189" s="5" t="s">
        <v>12</v>
      </c>
      <c r="C189" s="4" t="s">
        <v>395</v>
      </c>
      <c r="D189" s="4" t="s">
        <v>65</v>
      </c>
      <c r="E189" s="6">
        <v>52</v>
      </c>
      <c r="F189" s="4" t="s">
        <v>56</v>
      </c>
      <c r="G189" s="4" t="s">
        <v>816</v>
      </c>
      <c r="H189" s="4" t="s">
        <v>817</v>
      </c>
      <c r="I189" s="5" t="str">
        <f>HYPERLINK("https://search.naver.com/search.naver?where=blog&amp;query=%ED%9A%8C%ED%8F%AC+%EB%B4%89%EB%AA%85%EB%8F%99","블로그 보기")</f>
        <v>블로그 보기</v>
      </c>
      <c r="J189" s="5"/>
      <c r="K189" s="5"/>
      <c r="L189" s="4"/>
      <c r="M189" s="7">
        <v>46223</v>
      </c>
      <c r="N189" s="8">
        <v>100</v>
      </c>
      <c r="O189" s="8">
        <v>99</v>
      </c>
      <c r="P189" s="8">
        <v>680</v>
      </c>
      <c r="Q189" s="8">
        <v>1</v>
      </c>
      <c r="R189" s="8">
        <v>0</v>
      </c>
      <c r="S189" s="4" t="s">
        <v>651</v>
      </c>
      <c r="T189" s="9">
        <v>36.3591841</v>
      </c>
      <c r="U189" s="9">
        <v>127.3456401</v>
      </c>
    </row>
    <row r="190" spans="1:21" ht="32.1" customHeight="1">
      <c r="A190" s="5" t="s">
        <v>36</v>
      </c>
      <c r="B190" s="5" t="s">
        <v>12</v>
      </c>
      <c r="C190" s="4" t="s">
        <v>818</v>
      </c>
      <c r="D190" s="4" t="s">
        <v>125</v>
      </c>
      <c r="E190" s="6">
        <v>51</v>
      </c>
      <c r="F190" s="4" t="s">
        <v>819</v>
      </c>
      <c r="G190" s="4" t="s">
        <v>820</v>
      </c>
      <c r="H190" s="4" t="s">
        <v>821</v>
      </c>
      <c r="I190" s="5" t="str">
        <f>HYPERLINK("https://search.naver.com/search.naver?where=blog&amp;query=%EB%82%AD%EB%9E%91+%EC%9C%A0%EC%84%B1%EA%B5%AC","블로그 보기")</f>
        <v>블로그 보기</v>
      </c>
      <c r="J190" s="5" t="str">
        <f>HYPERLINK("https://blog.naver.com/whwhwh1127","업체 보기")</f>
        <v>업체 보기</v>
      </c>
      <c r="K190" s="5"/>
      <c r="L190" s="4"/>
      <c r="M190" s="7">
        <v>46219</v>
      </c>
      <c r="N190" s="8">
        <v>62</v>
      </c>
      <c r="O190" s="8">
        <v>98</v>
      </c>
      <c r="P190" s="8">
        <v>257</v>
      </c>
      <c r="Q190" s="8">
        <v>1</v>
      </c>
      <c r="R190" s="8">
        <v>0</v>
      </c>
      <c r="S190" s="4" t="s">
        <v>616</v>
      </c>
      <c r="T190" s="9">
        <v>36.3903854</v>
      </c>
      <c r="U190" s="9">
        <v>127.3512906</v>
      </c>
    </row>
    <row r="191" spans="1:21" ht="32.1" customHeight="1">
      <c r="A191" s="5" t="s">
        <v>36</v>
      </c>
      <c r="B191" s="5" t="s">
        <v>12</v>
      </c>
      <c r="C191" s="4" t="s">
        <v>822</v>
      </c>
      <c r="D191" s="4" t="s">
        <v>381</v>
      </c>
      <c r="E191" s="6">
        <v>51</v>
      </c>
      <c r="F191" s="4" t="s">
        <v>56</v>
      </c>
      <c r="G191" s="4" t="s">
        <v>823</v>
      </c>
      <c r="H191" s="4" t="s">
        <v>824</v>
      </c>
      <c r="I191" s="5" t="str">
        <f>HYPERLINK("https://search.naver.com/search.naver?where=blog&amp;query=%EB%AC%98%ED%95%9C%EC%8B%9D%EB%8B%B9+%EC%9C%A0%EC%84%B1%EA%B5%AC","블로그 보기")</f>
        <v>블로그 보기</v>
      </c>
      <c r="J191" s="5" t="str">
        <f>HYPERLINK("https://app.catchtable.co.kr/ct/shop/myohansigdang","업체 보기")</f>
        <v>업체 보기</v>
      </c>
      <c r="K191" s="5"/>
      <c r="L191" s="4"/>
      <c r="M191" s="7">
        <v>46222</v>
      </c>
      <c r="N191" s="8">
        <v>100</v>
      </c>
      <c r="O191" s="8">
        <v>100</v>
      </c>
      <c r="P191" s="8">
        <v>434</v>
      </c>
      <c r="Q191" s="8">
        <v>1</v>
      </c>
      <c r="R191" s="8">
        <v>0</v>
      </c>
      <c r="S191" s="4" t="s">
        <v>760</v>
      </c>
      <c r="T191" s="9">
        <v>36.358339800000003</v>
      </c>
      <c r="U191" s="9">
        <v>127.3457669</v>
      </c>
    </row>
    <row r="192" spans="1:21" ht="32.1" customHeight="1">
      <c r="A192" s="5" t="s">
        <v>36</v>
      </c>
      <c r="B192" s="5" t="s">
        <v>12</v>
      </c>
      <c r="C192" s="4" t="s">
        <v>825</v>
      </c>
      <c r="D192" s="4" t="s">
        <v>96</v>
      </c>
      <c r="E192" s="6">
        <v>51</v>
      </c>
      <c r="F192" s="4" t="s">
        <v>826</v>
      </c>
      <c r="G192" s="4" t="s">
        <v>827</v>
      </c>
      <c r="H192" s="4" t="s">
        <v>828</v>
      </c>
      <c r="I192" s="5" t="str">
        <f>HYPERLINK("https://search.naver.com/search.naver?where=blog&amp;query=%EC%9C%A0%EB%AA%85%EB%8F%8C%EA%B5%AC%EC%9D%B4+%EB%B4%89%EB%AA%85%EB%8F%99","블로그 보기")</f>
        <v>블로그 보기</v>
      </c>
      <c r="J192" s="5"/>
      <c r="K192" s="5"/>
      <c r="L192" s="4"/>
      <c r="M192" s="7">
        <v>46218</v>
      </c>
      <c r="N192" s="8">
        <v>82</v>
      </c>
      <c r="O192" s="8">
        <v>92</v>
      </c>
      <c r="P192" s="8">
        <v>374</v>
      </c>
      <c r="Q192" s="8">
        <v>1</v>
      </c>
      <c r="R192" s="8">
        <v>0</v>
      </c>
      <c r="S192" s="4" t="s">
        <v>644</v>
      </c>
      <c r="T192" s="9">
        <v>36.354680299999998</v>
      </c>
      <c r="U192" s="9">
        <v>127.3375144</v>
      </c>
    </row>
    <row r="193" spans="1:21" ht="32.1" customHeight="1">
      <c r="A193" s="5" t="s">
        <v>36</v>
      </c>
      <c r="B193" s="5" t="s">
        <v>12</v>
      </c>
      <c r="C193" s="4" t="s">
        <v>829</v>
      </c>
      <c r="D193" s="4" t="s">
        <v>125</v>
      </c>
      <c r="E193" s="6">
        <v>51</v>
      </c>
      <c r="F193" s="4" t="s">
        <v>56</v>
      </c>
      <c r="G193" s="4" t="s">
        <v>830</v>
      </c>
      <c r="H193" s="4" t="s">
        <v>831</v>
      </c>
      <c r="I193" s="5" t="str">
        <f>HYPERLINK("https://search.naver.com/search.naver?where=blog&amp;query=%EC%A1%B0%EA%B8%B0%EC%A2%85%EC%9D%98%ED%96%A5%EB%AF%B8%EA%B0%81+%EB%B4%89%EB%AA%85%EC%A0%90+%EC%9C%A0%EC%84%B1%EA%B5%AC","블로그 보기")</f>
        <v>블로그 보기</v>
      </c>
      <c r="J193" s="5"/>
      <c r="K193" s="5"/>
      <c r="L193" s="4"/>
      <c r="M193" s="7">
        <v>46222</v>
      </c>
      <c r="N193" s="8">
        <v>100</v>
      </c>
      <c r="O193" s="8">
        <v>98</v>
      </c>
      <c r="P193" s="8">
        <v>348</v>
      </c>
      <c r="Q193" s="8">
        <v>1</v>
      </c>
      <c r="R193" s="8">
        <v>0</v>
      </c>
      <c r="S193" s="4" t="s">
        <v>616</v>
      </c>
      <c r="T193" s="9">
        <v>36.357715300000002</v>
      </c>
      <c r="U193" s="9">
        <v>127.34255829999999</v>
      </c>
    </row>
    <row r="194" spans="1:21" ht="32.1" customHeight="1">
      <c r="A194" s="5" t="s">
        <v>36</v>
      </c>
      <c r="B194" s="5" t="s">
        <v>12</v>
      </c>
      <c r="C194" s="4" t="s">
        <v>832</v>
      </c>
      <c r="D194" s="4" t="s">
        <v>354</v>
      </c>
      <c r="E194" s="6">
        <v>51</v>
      </c>
      <c r="F194" s="4" t="s">
        <v>236</v>
      </c>
      <c r="G194" s="4" t="s">
        <v>833</v>
      </c>
      <c r="H194" s="4" t="s">
        <v>834</v>
      </c>
      <c r="I194" s="5" t="str">
        <f>HYPERLINK("https://search.naver.com/search.naver?where=blog&amp;query=%EC%B9%B4%EB%9D%BC%EB%A7%88%EB%8D%B0+%EC%A3%BD%EB%8F%99","블로그 보기")</f>
        <v>블로그 보기</v>
      </c>
      <c r="J194" s="5"/>
      <c r="K194" s="5"/>
      <c r="L194" s="4"/>
      <c r="M194" s="7">
        <v>46218</v>
      </c>
      <c r="N194" s="8">
        <v>27</v>
      </c>
      <c r="O194" s="8">
        <v>93</v>
      </c>
      <c r="P194" s="8">
        <v>402</v>
      </c>
      <c r="Q194" s="8">
        <v>1</v>
      </c>
      <c r="R194" s="8">
        <v>0</v>
      </c>
      <c r="S194" s="4" t="s">
        <v>681</v>
      </c>
      <c r="T194" s="9">
        <v>36.370761999999999</v>
      </c>
      <c r="U194" s="9">
        <v>127.33943840000001</v>
      </c>
    </row>
    <row r="195" spans="1:21" ht="32.1" customHeight="1">
      <c r="A195" s="5" t="s">
        <v>36</v>
      </c>
      <c r="B195" s="5" t="s">
        <v>12</v>
      </c>
      <c r="C195" s="4" t="s">
        <v>835</v>
      </c>
      <c r="D195" s="4" t="s">
        <v>248</v>
      </c>
      <c r="E195" s="6">
        <v>51</v>
      </c>
      <c r="F195" s="4" t="s">
        <v>836</v>
      </c>
      <c r="G195" s="4" t="s">
        <v>837</v>
      </c>
      <c r="H195" s="4" t="s">
        <v>838</v>
      </c>
      <c r="I195" s="5" t="str">
        <f>HYPERLINK("https://search.naver.com/search.naver?where=blog&amp;query=%ED%99%94%EB%AA%A9%ED%95%9C%EC%9A%B0%EB%A6%AC%EC%A7%91+%EC%9C%A0%EC%84%B1%EA%B5%AC","블로그 보기")</f>
        <v>블로그 보기</v>
      </c>
      <c r="J195" s="5"/>
      <c r="K195" s="5"/>
      <c r="L195" s="4"/>
      <c r="M195" s="7">
        <v>46220</v>
      </c>
      <c r="N195" s="8">
        <v>91</v>
      </c>
      <c r="O195" s="8">
        <v>97</v>
      </c>
      <c r="P195" s="8">
        <v>372</v>
      </c>
      <c r="Q195" s="8">
        <v>1</v>
      </c>
      <c r="R195" s="8">
        <v>0</v>
      </c>
      <c r="S195" s="4" t="s">
        <v>640</v>
      </c>
      <c r="T195" s="9">
        <v>36.398350299999997</v>
      </c>
      <c r="U195" s="9">
        <v>127.40045259999999</v>
      </c>
    </row>
    <row r="196" spans="1:21" ht="32.1" customHeight="1">
      <c r="A196" s="5" t="s">
        <v>36</v>
      </c>
      <c r="B196" s="5" t="s">
        <v>12</v>
      </c>
      <c r="C196" s="4" t="s">
        <v>839</v>
      </c>
      <c r="D196" s="4" t="s">
        <v>141</v>
      </c>
      <c r="E196" s="6">
        <v>50</v>
      </c>
      <c r="F196" s="4" t="s">
        <v>840</v>
      </c>
      <c r="G196" s="4" t="s">
        <v>841</v>
      </c>
      <c r="H196" s="4" t="s">
        <v>842</v>
      </c>
      <c r="I196" s="5" t="str">
        <f>HYPERLINK("https://search.naver.com/search.naver?where=blog&amp;query=%EA%B3%A0%EB%B4%89%EB%AF%BC%EA%B9%80%EB%B0%A5%EC%9D%B8+%EB%8C%80%EC%A0%84%EC%96%B4%EC%9D%80%EC%A0%90+%EC%9C%A0%EC%84%B1%EA%B5%AC","블로그 보기")</f>
        <v>블로그 보기</v>
      </c>
      <c r="J196" s="5" t="str">
        <f>HYPERLINK("https://blog.naver.com/kobongmin_official","업체 보기")</f>
        <v>업체 보기</v>
      </c>
      <c r="K196" s="5"/>
      <c r="L196" s="4"/>
      <c r="M196" s="7">
        <v>45680</v>
      </c>
      <c r="N196" s="8">
        <v>0</v>
      </c>
      <c r="O196" s="8">
        <v>6</v>
      </c>
      <c r="P196" s="8">
        <v>6</v>
      </c>
      <c r="Q196" s="8">
        <v>4</v>
      </c>
      <c r="R196" s="8">
        <v>2</v>
      </c>
      <c r="S196" s="4" t="s">
        <v>843</v>
      </c>
      <c r="T196" s="9">
        <v>36.362312299999999</v>
      </c>
      <c r="U196" s="9">
        <v>127.3575487</v>
      </c>
    </row>
    <row r="197" spans="1:21" ht="32.1" customHeight="1">
      <c r="A197" s="5" t="s">
        <v>36</v>
      </c>
      <c r="B197" s="5" t="s">
        <v>12</v>
      </c>
      <c r="C197" s="4" t="s">
        <v>844</v>
      </c>
      <c r="D197" s="4" t="s">
        <v>438</v>
      </c>
      <c r="E197" s="6">
        <v>50</v>
      </c>
      <c r="F197" s="4" t="s">
        <v>845</v>
      </c>
      <c r="G197" s="4" t="s">
        <v>846</v>
      </c>
      <c r="H197" s="4" t="s">
        <v>847</v>
      </c>
      <c r="I197" s="5" t="str">
        <f>HYPERLINK("https://search.naver.com/search.naver?where=blog&amp;query=%EB%A7%88%EC%AF%94%EB%AF%B8%EB%9D%BC%EB%A9%98+%EC%9C%A0%EC%84%B1%EA%B5%AC","블로그 보기")</f>
        <v>블로그 보기</v>
      </c>
      <c r="J197" s="5" t="str">
        <f>HYPERLINK("http://www.instagram.com/matsumi_ramen","업체 보기")</f>
        <v>업체 보기</v>
      </c>
      <c r="K197" s="5"/>
      <c r="L197" s="4"/>
      <c r="M197" s="7">
        <v>46208</v>
      </c>
      <c r="N197" s="8">
        <v>72</v>
      </c>
      <c r="O197" s="8">
        <v>91</v>
      </c>
      <c r="P197" s="8">
        <v>203</v>
      </c>
      <c r="Q197" s="8">
        <v>1</v>
      </c>
      <c r="R197" s="8">
        <v>0</v>
      </c>
      <c r="S197" s="4" t="s">
        <v>563</v>
      </c>
      <c r="T197" s="9">
        <v>36.363124300000003</v>
      </c>
      <c r="U197" s="9">
        <v>127.35874920000001</v>
      </c>
    </row>
    <row r="198" spans="1:21" ht="32.1" customHeight="1">
      <c r="A198" s="5" t="s">
        <v>36</v>
      </c>
      <c r="B198" s="5" t="s">
        <v>12</v>
      </c>
      <c r="C198" s="4" t="s">
        <v>848</v>
      </c>
      <c r="D198" s="4" t="s">
        <v>125</v>
      </c>
      <c r="E198" s="6">
        <v>50</v>
      </c>
      <c r="F198" s="4" t="s">
        <v>849</v>
      </c>
      <c r="G198" s="4" t="s">
        <v>850</v>
      </c>
      <c r="H198" s="4" t="s">
        <v>851</v>
      </c>
      <c r="I198" s="5" t="str">
        <f>HYPERLINK("https://search.naver.com/search.naver?where=blog&amp;query=%EC%97%B0%EB%9E%98%EC%B6%98%EB%8C%80%EB%B0%98%EC%A0%90+%EC%9C%A0%EC%84%B1%EA%B5%AC","블로그 보기")</f>
        <v>블로그 보기</v>
      </c>
      <c r="J198" s="5" t="str">
        <f>HYPERLINK("http://www.042-825-1177.kti114.net/","업체 보기")</f>
        <v>업체 보기</v>
      </c>
      <c r="K198" s="5"/>
      <c r="L198" s="4"/>
      <c r="M198" s="7">
        <v>46223</v>
      </c>
      <c r="N198" s="8">
        <v>93</v>
      </c>
      <c r="O198" s="8">
        <v>96</v>
      </c>
      <c r="P198" s="8">
        <v>196</v>
      </c>
      <c r="Q198" s="8">
        <v>1</v>
      </c>
      <c r="R198" s="8">
        <v>0</v>
      </c>
      <c r="S198" s="4" t="s">
        <v>616</v>
      </c>
      <c r="T198" s="9">
        <v>36.360414300000002</v>
      </c>
      <c r="U198" s="9">
        <v>127.3443829</v>
      </c>
    </row>
    <row r="199" spans="1:21" ht="32.1" customHeight="1">
      <c r="A199" s="5" t="s">
        <v>36</v>
      </c>
      <c r="B199" s="5" t="s">
        <v>12</v>
      </c>
      <c r="C199" s="4" t="s">
        <v>852</v>
      </c>
      <c r="D199" s="4" t="s">
        <v>853</v>
      </c>
      <c r="E199" s="6">
        <v>50</v>
      </c>
      <c r="F199" s="4" t="s">
        <v>323</v>
      </c>
      <c r="G199" s="4" t="s">
        <v>854</v>
      </c>
      <c r="H199" s="4" t="s">
        <v>855</v>
      </c>
      <c r="I199" s="5" t="str">
        <f>HYPERLINK("https://search.naver.com/search.naver?where=blog&amp;query=%EC%97%B4%EB%A7%A4%EC%86%90%EB%A7%8C%EB%91%90%EB%B6%84%EC%8B%9D+%EC%9C%A0%EC%84%B1%EA%B5%AC","블로그 보기")</f>
        <v>블로그 보기</v>
      </c>
      <c r="J199" s="5" t="str">
        <f>HYPERLINK("https://youtu.be/MnEdGm6bp7A?si=H11E3Hfr_9b75Tzz","업체 보기")</f>
        <v>업체 보기</v>
      </c>
      <c r="K199" s="5"/>
      <c r="L199" s="4"/>
      <c r="M199" s="7">
        <v>46216</v>
      </c>
      <c r="N199" s="8">
        <v>23</v>
      </c>
      <c r="O199" s="8">
        <v>98</v>
      </c>
      <c r="P199" s="8">
        <v>140</v>
      </c>
      <c r="Q199" s="8">
        <v>1</v>
      </c>
      <c r="R199" s="8">
        <v>0</v>
      </c>
      <c r="S199" s="4" t="s">
        <v>640</v>
      </c>
      <c r="T199" s="9">
        <v>36.374442600000002</v>
      </c>
      <c r="U199" s="9">
        <v>127.3204643</v>
      </c>
    </row>
    <row r="200" spans="1:21" ht="32.1" customHeight="1">
      <c r="A200" s="5" t="s">
        <v>36</v>
      </c>
      <c r="B200" s="5" t="s">
        <v>12</v>
      </c>
      <c r="C200" s="4" t="s">
        <v>856</v>
      </c>
      <c r="D200" s="4" t="s">
        <v>71</v>
      </c>
      <c r="E200" s="6">
        <v>50</v>
      </c>
      <c r="F200" s="4" t="s">
        <v>281</v>
      </c>
      <c r="G200" s="4" t="s">
        <v>857</v>
      </c>
      <c r="H200" s="4" t="s">
        <v>858</v>
      </c>
      <c r="I200" s="5" t="str">
        <f>HYPERLINK("https://search.naver.com/search.naver?where=blog&amp;query=%EC%98%A4%EA%B1%B0%EB%A6%AC%ED%9A%8C%EA%B4%80+%EC%9B%90%EB%82%B4%EB%8F%99","블로그 보기")</f>
        <v>블로그 보기</v>
      </c>
      <c r="J200" s="5"/>
      <c r="K200" s="5"/>
      <c r="L200" s="4"/>
      <c r="M200" s="7">
        <v>46221</v>
      </c>
      <c r="N200" s="8">
        <v>44</v>
      </c>
      <c r="O200" s="8">
        <v>59</v>
      </c>
      <c r="P200" s="8">
        <v>128</v>
      </c>
      <c r="Q200" s="8">
        <v>1</v>
      </c>
      <c r="R200" s="8">
        <v>0</v>
      </c>
      <c r="S200" s="4" t="s">
        <v>676</v>
      </c>
      <c r="T200" s="9">
        <v>36.300410100000001</v>
      </c>
      <c r="U200" s="9">
        <v>127.3178442</v>
      </c>
    </row>
    <row r="201" spans="1:21" ht="32.1" customHeight="1">
      <c r="A201" s="5" t="s">
        <v>36</v>
      </c>
      <c r="B201" s="5" t="s">
        <v>12</v>
      </c>
      <c r="C201" s="4" t="s">
        <v>859</v>
      </c>
      <c r="D201" s="4" t="s">
        <v>860</v>
      </c>
      <c r="E201" s="6">
        <v>50</v>
      </c>
      <c r="F201" s="4" t="s">
        <v>385</v>
      </c>
      <c r="G201" s="4" t="s">
        <v>861</v>
      </c>
      <c r="H201" s="4" t="s">
        <v>862</v>
      </c>
      <c r="I201" s="5" t="str">
        <f>HYPERLINK("https://search.naver.com/search.naver?where=blog&amp;query=%EC%98%A4%EC%BF%A0%EB%B0%94+%EC%9C%A0%EC%84%B1%EA%B5%AC","블로그 보기")</f>
        <v>블로그 보기</v>
      </c>
      <c r="J201" s="5" t="str">
        <f>HYPERLINK("https://www.instagram.com/osakaload","업체 보기")</f>
        <v>업체 보기</v>
      </c>
      <c r="K201" s="5"/>
      <c r="L201" s="4"/>
      <c r="M201" s="7">
        <v>46218</v>
      </c>
      <c r="N201" s="8">
        <v>26</v>
      </c>
      <c r="O201" s="8">
        <v>98</v>
      </c>
      <c r="P201" s="8">
        <v>111</v>
      </c>
      <c r="Q201" s="8">
        <v>1</v>
      </c>
      <c r="R201" s="8">
        <v>0</v>
      </c>
      <c r="S201" s="4" t="s">
        <v>563</v>
      </c>
      <c r="T201" s="9">
        <v>36.362099200000003</v>
      </c>
      <c r="U201" s="9">
        <v>127.35454230000001</v>
      </c>
    </row>
    <row r="202" spans="1:21" ht="32.1" customHeight="1">
      <c r="A202" s="5" t="s">
        <v>36</v>
      </c>
      <c r="B202" s="5" t="s">
        <v>10</v>
      </c>
      <c r="C202" s="4" t="s">
        <v>863</v>
      </c>
      <c r="D202" s="4" t="s">
        <v>71</v>
      </c>
      <c r="E202" s="6">
        <v>86</v>
      </c>
      <c r="F202" s="4" t="s">
        <v>126</v>
      </c>
      <c r="G202" s="4" t="s">
        <v>864</v>
      </c>
      <c r="H202" s="4" t="s">
        <v>865</v>
      </c>
      <c r="I202" s="5" t="str">
        <f>HYPERLINK("https://search.naver.com/search.naver?where=blog&amp;query=%EB%8F%84%EC%8B%AC%ED%9A%8C%EA%B4%80%EC%8B%9D%EB%8B%B9+%EB%8C%80%EC%A0%84%EB%B3%B8%EC%A0%90+%EB%8F%99%EA%B5%AC","블로그 보기")</f>
        <v>블로그 보기</v>
      </c>
      <c r="J202" s="5"/>
      <c r="K202" s="5"/>
      <c r="L202" s="4"/>
      <c r="M202" s="7">
        <v>46221</v>
      </c>
      <c r="N202" s="8">
        <v>100</v>
      </c>
      <c r="O202" s="8">
        <v>96</v>
      </c>
      <c r="P202" s="8">
        <v>3369</v>
      </c>
      <c r="Q202" s="8">
        <v>5</v>
      </c>
      <c r="R202" s="8">
        <v>2</v>
      </c>
      <c r="S202" s="4" t="s">
        <v>866</v>
      </c>
      <c r="T202" s="9">
        <v>36.331871700000001</v>
      </c>
      <c r="U202" s="9">
        <v>127.43126220000001</v>
      </c>
    </row>
    <row r="203" spans="1:21" ht="32.1" customHeight="1">
      <c r="A203" s="5" t="s">
        <v>36</v>
      </c>
      <c r="B203" s="5" t="s">
        <v>10</v>
      </c>
      <c r="C203" s="4" t="s">
        <v>867</v>
      </c>
      <c r="D203" s="4" t="s">
        <v>71</v>
      </c>
      <c r="E203" s="6">
        <v>84</v>
      </c>
      <c r="F203" s="4" t="s">
        <v>56</v>
      </c>
      <c r="G203" s="4" t="s">
        <v>868</v>
      </c>
      <c r="H203" s="4" t="s">
        <v>869</v>
      </c>
      <c r="I203" s="5" t="str">
        <f>HYPERLINK("https://search.naver.com/search.naver?where=blog&amp;query=%EB%B9%84%EB%B2%94+%EB%8F%99%EA%B5%AC","블로그 보기")</f>
        <v>블로그 보기</v>
      </c>
      <c r="J203" s="5" t="str">
        <f>HYPERLINK("https://bebeom.com","업체 보기")</f>
        <v>업체 보기</v>
      </c>
      <c r="K203" s="5"/>
      <c r="L203" s="4"/>
      <c r="M203" s="7">
        <v>46222</v>
      </c>
      <c r="N203" s="8">
        <v>100</v>
      </c>
      <c r="O203" s="8">
        <v>93</v>
      </c>
      <c r="P203" s="8">
        <v>1720</v>
      </c>
      <c r="Q203" s="8">
        <v>10</v>
      </c>
      <c r="R203" s="8">
        <v>7</v>
      </c>
      <c r="S203" s="4" t="s">
        <v>870</v>
      </c>
      <c r="T203" s="9">
        <v>36.3359679</v>
      </c>
      <c r="U203" s="9">
        <v>127.43725929999999</v>
      </c>
    </row>
    <row r="204" spans="1:21" ht="32.1" customHeight="1">
      <c r="A204" s="5" t="s">
        <v>36</v>
      </c>
      <c r="B204" s="5" t="s">
        <v>10</v>
      </c>
      <c r="C204" s="4" t="s">
        <v>871</v>
      </c>
      <c r="D204" s="4" t="s">
        <v>38</v>
      </c>
      <c r="E204" s="6">
        <v>83</v>
      </c>
      <c r="F204" s="4" t="s">
        <v>39</v>
      </c>
      <c r="G204" s="4" t="s">
        <v>872</v>
      </c>
      <c r="H204" s="4" t="s">
        <v>873</v>
      </c>
      <c r="I204" s="5" t="str">
        <f>HYPERLINK("https://search.naver.com/search.naver?where=blog&amp;query=%EA%B9%80%ED%99%94%EC%B9%BC%EA%B5%AD%EC%88%98+%EB%8F%99%EA%B5%AC","블로그 보기")</f>
        <v>블로그 보기</v>
      </c>
      <c r="J204" s="5"/>
      <c r="K204" s="5"/>
      <c r="L204" s="4"/>
      <c r="M204" s="7">
        <v>46221</v>
      </c>
      <c r="N204" s="8">
        <v>100</v>
      </c>
      <c r="O204" s="8">
        <v>97</v>
      </c>
      <c r="P204" s="8">
        <v>1439</v>
      </c>
      <c r="Q204" s="8">
        <v>8</v>
      </c>
      <c r="R204" s="8">
        <v>3</v>
      </c>
      <c r="S204" s="4" t="s">
        <v>874</v>
      </c>
      <c r="T204" s="9">
        <v>36.332044199999999</v>
      </c>
      <c r="U204" s="9">
        <v>127.4310084</v>
      </c>
    </row>
    <row r="205" spans="1:21" ht="32.1" customHeight="1">
      <c r="A205" s="5" t="s">
        <v>36</v>
      </c>
      <c r="B205" s="5" t="s">
        <v>10</v>
      </c>
      <c r="C205" s="4" t="s">
        <v>875</v>
      </c>
      <c r="D205" s="4" t="s">
        <v>71</v>
      </c>
      <c r="E205" s="6">
        <v>83</v>
      </c>
      <c r="F205" s="4" t="s">
        <v>56</v>
      </c>
      <c r="G205" s="4" t="s">
        <v>876</v>
      </c>
      <c r="H205" s="4" t="s">
        <v>877</v>
      </c>
      <c r="I205" s="5" t="str">
        <f>HYPERLINK("https://search.naver.com/search.naver?where=blog&amp;query=%EB%B3%84%EB%82%9C%EC%A7%91+%EB%8F%99%EA%B5%AC","블로그 보기")</f>
        <v>블로그 보기</v>
      </c>
      <c r="J205" s="5" t="str">
        <f>HYPERLINK("https://www.instagram.com/byeolnanjip.daejeon","업체 보기")</f>
        <v>업체 보기</v>
      </c>
      <c r="K205" s="5"/>
      <c r="L205" s="4"/>
      <c r="M205" s="7">
        <v>46222</v>
      </c>
      <c r="N205" s="8">
        <v>100</v>
      </c>
      <c r="O205" s="8">
        <v>99</v>
      </c>
      <c r="P205" s="8">
        <v>898</v>
      </c>
      <c r="Q205" s="8">
        <v>12</v>
      </c>
      <c r="R205" s="8">
        <v>5</v>
      </c>
      <c r="S205" s="4" t="s">
        <v>878</v>
      </c>
      <c r="T205" s="9">
        <v>36.330985300000002</v>
      </c>
      <c r="U205" s="9">
        <v>127.4307603</v>
      </c>
    </row>
    <row r="206" spans="1:21" ht="32.1" customHeight="1">
      <c r="A206" s="5" t="s">
        <v>36</v>
      </c>
      <c r="B206" s="5" t="s">
        <v>10</v>
      </c>
      <c r="C206" s="4" t="s">
        <v>879</v>
      </c>
      <c r="D206" s="4" t="s">
        <v>38</v>
      </c>
      <c r="E206" s="6">
        <v>80</v>
      </c>
      <c r="F206" s="4" t="s">
        <v>880</v>
      </c>
      <c r="G206" s="4" t="s">
        <v>881</v>
      </c>
      <c r="H206" s="4" t="s">
        <v>882</v>
      </c>
      <c r="I206" s="5" t="str">
        <f>HYPERLINK("https://search.naver.com/search.naver?where=blog&amp;query=%EC%96%BC%ED%81%B0%EC%9D%B4%EC%86%90%EC%B9%BC%EA%B5%AD%EC%88%98+%EB%8F%99%EA%B5%AC","블로그 보기")</f>
        <v>블로그 보기</v>
      </c>
      <c r="J206" s="5" t="str">
        <f>HYPERLINK("https://www.instagram.com/","업체 보기")</f>
        <v>업체 보기</v>
      </c>
      <c r="K206" s="5"/>
      <c r="L206" s="4"/>
      <c r="M206" s="7">
        <v>46220</v>
      </c>
      <c r="N206" s="8">
        <v>21</v>
      </c>
      <c r="O206" s="8">
        <v>95</v>
      </c>
      <c r="P206" s="8">
        <v>177</v>
      </c>
      <c r="Q206" s="8">
        <v>5</v>
      </c>
      <c r="R206" s="8">
        <v>3</v>
      </c>
      <c r="S206" s="4" t="s">
        <v>883</v>
      </c>
      <c r="T206" s="9">
        <v>36.3276757</v>
      </c>
      <c r="U206" s="9">
        <v>127.4531322</v>
      </c>
    </row>
    <row r="207" spans="1:21" ht="32.1" customHeight="1">
      <c r="A207" s="5" t="s">
        <v>36</v>
      </c>
      <c r="B207" s="5" t="s">
        <v>10</v>
      </c>
      <c r="C207" s="4" t="s">
        <v>884</v>
      </c>
      <c r="D207" s="4" t="s">
        <v>96</v>
      </c>
      <c r="E207" s="6">
        <v>80</v>
      </c>
      <c r="F207" s="4" t="s">
        <v>885</v>
      </c>
      <c r="G207" s="4" t="s">
        <v>886</v>
      </c>
      <c r="H207" s="4" t="s">
        <v>887</v>
      </c>
      <c r="I207" s="5" t="str">
        <f>HYPERLINK("https://search.naver.com/search.naver?where=blog&amp;query=%EC%A0%84%EB%B4%87%EB%8C%80+%EC%88%AF%EB%B6%88+%EC%98%A4%EA%B2%B9+%EB%8F%99%EA%B5%AC","블로그 보기")</f>
        <v>블로그 보기</v>
      </c>
      <c r="J207" s="5" t="str">
        <f>HYPERLINK("https://www.instagram.com/jbd.8686","업체 보기")</f>
        <v>업체 보기</v>
      </c>
      <c r="K207" s="5"/>
      <c r="L207" s="4"/>
      <c r="M207" s="7">
        <v>46223</v>
      </c>
      <c r="N207" s="8">
        <v>39</v>
      </c>
      <c r="O207" s="8">
        <v>54</v>
      </c>
      <c r="P207" s="8">
        <v>59</v>
      </c>
      <c r="Q207" s="8">
        <v>9</v>
      </c>
      <c r="R207" s="8">
        <v>5</v>
      </c>
      <c r="S207" s="4" t="s">
        <v>888</v>
      </c>
      <c r="T207" s="9">
        <v>36.325055800000001</v>
      </c>
      <c r="U207" s="9">
        <v>127.4599781</v>
      </c>
    </row>
    <row r="208" spans="1:21" ht="32.1" customHeight="1">
      <c r="A208" s="5" t="s">
        <v>36</v>
      </c>
      <c r="B208" s="5" t="s">
        <v>10</v>
      </c>
      <c r="C208" s="4" t="s">
        <v>889</v>
      </c>
      <c r="D208" s="4" t="s">
        <v>136</v>
      </c>
      <c r="E208" s="6">
        <v>77</v>
      </c>
      <c r="F208" s="4" t="s">
        <v>890</v>
      </c>
      <c r="G208" s="4" t="s">
        <v>891</v>
      </c>
      <c r="H208" s="4" t="s">
        <v>892</v>
      </c>
      <c r="I208" s="5" t="str">
        <f>HYPERLINK("https://search.naver.com/search.naver?where=blog&amp;query=%EC%98%A8%EC%B2%9C%EC%A7%91+%EB%8F%99%EA%B5%AC","블로그 보기")</f>
        <v>블로그 보기</v>
      </c>
      <c r="J208" s="5" t="str">
        <f>HYPERLINK("https://www.instagram.com/oncheonjip_soje?igsh=MTd2aXVmcWJlb25pNQ%3D%3D&amp;utm_source=qr","업체 보기")</f>
        <v>업체 보기</v>
      </c>
      <c r="K208" s="5"/>
      <c r="L208" s="4"/>
      <c r="M208" s="7">
        <v>46216</v>
      </c>
      <c r="N208" s="8">
        <v>63</v>
      </c>
      <c r="O208" s="8">
        <v>99</v>
      </c>
      <c r="P208" s="8">
        <v>886</v>
      </c>
      <c r="Q208" s="8">
        <v>6</v>
      </c>
      <c r="R208" s="8">
        <v>3</v>
      </c>
      <c r="S208" s="4" t="s">
        <v>893</v>
      </c>
      <c r="T208" s="9">
        <v>36.3367741</v>
      </c>
      <c r="U208" s="9">
        <v>127.43695959999999</v>
      </c>
    </row>
    <row r="209" spans="1:21" ht="32.1" hidden="1" customHeight="1">
      <c r="A209" s="5" t="s">
        <v>1857</v>
      </c>
      <c r="B209" s="5" t="s">
        <v>10</v>
      </c>
      <c r="C209" s="4" t="s">
        <v>894</v>
      </c>
      <c r="D209" s="4" t="s">
        <v>96</v>
      </c>
      <c r="E209" s="6">
        <v>75</v>
      </c>
      <c r="F209" s="4" t="s">
        <v>895</v>
      </c>
      <c r="G209" s="4" t="s">
        <v>896</v>
      </c>
      <c r="H209" s="4" t="s">
        <v>897</v>
      </c>
      <c r="I209" s="5" t="str">
        <f>HYPERLINK("https://search.naver.com/search.naver?where=blog&amp;query=%EB%AA%85%EB%A5%9C%EC%A7%84%EC%82%AC%EA%B0%88%EB%B9%84+%EB%8C%80%EC%A0%84%EC%9A%A9%EC%9A%B4%EC%A0%90+%EB%8F%99%EA%B5%AC","블로그 보기")</f>
        <v>블로그 보기</v>
      </c>
      <c r="J209" s="5" t="str">
        <f>HYPERLINK("https://blog.naver.com/jinsafd","업체 보기")</f>
        <v>업체 보기</v>
      </c>
      <c r="K209" s="5"/>
      <c r="L209" s="4"/>
      <c r="M209" s="7">
        <v>46195</v>
      </c>
      <c r="N209" s="8">
        <v>60</v>
      </c>
      <c r="O209" s="8">
        <v>88</v>
      </c>
      <c r="P209" s="8">
        <v>485</v>
      </c>
      <c r="Q209" s="8">
        <v>4</v>
      </c>
      <c r="R209" s="8">
        <v>2</v>
      </c>
      <c r="S209" s="4" t="s">
        <v>898</v>
      </c>
      <c r="T209" s="9">
        <v>36.322687899999998</v>
      </c>
      <c r="U209" s="9">
        <v>127.4627201</v>
      </c>
    </row>
    <row r="210" spans="1:21" ht="32.1" customHeight="1">
      <c r="A210" s="5" t="s">
        <v>36</v>
      </c>
      <c r="B210" s="5" t="s">
        <v>10</v>
      </c>
      <c r="C210" s="4" t="s">
        <v>899</v>
      </c>
      <c r="D210" s="4" t="s">
        <v>119</v>
      </c>
      <c r="E210" s="6">
        <v>75</v>
      </c>
      <c r="F210" s="4" t="s">
        <v>56</v>
      </c>
      <c r="G210" s="4" t="s">
        <v>900</v>
      </c>
      <c r="H210" s="4" t="s">
        <v>901</v>
      </c>
      <c r="I210" s="5" t="str">
        <f>HYPERLINK("https://search.naver.com/search.naver?where=blog&amp;query=%ED%95%9C%EB%B0%AD%EB%8C%80%EA%B0%80+%EB%8F%99%EA%B5%AC","블로그 보기")</f>
        <v>블로그 보기</v>
      </c>
      <c r="J210" s="5" t="str">
        <f>HYPERLINK("http://한밭대가.com","업체 보기")</f>
        <v>업체 보기</v>
      </c>
      <c r="K210" s="5"/>
      <c r="L210" s="4"/>
      <c r="M210" s="7">
        <v>46223</v>
      </c>
      <c r="N210" s="8">
        <v>100</v>
      </c>
      <c r="O210" s="8">
        <v>93</v>
      </c>
      <c r="P210" s="8">
        <v>1895</v>
      </c>
      <c r="Q210" s="8">
        <v>5</v>
      </c>
      <c r="R210" s="8">
        <v>2</v>
      </c>
      <c r="S210" s="4" t="s">
        <v>902</v>
      </c>
      <c r="T210" s="9">
        <v>36.332144999999997</v>
      </c>
      <c r="U210" s="9">
        <v>127.4376384</v>
      </c>
    </row>
    <row r="211" spans="1:21" ht="32.1" customHeight="1">
      <c r="A211" s="5" t="s">
        <v>36</v>
      </c>
      <c r="B211" s="5" t="s">
        <v>10</v>
      </c>
      <c r="C211" s="4" t="s">
        <v>903</v>
      </c>
      <c r="D211" s="4" t="s">
        <v>71</v>
      </c>
      <c r="E211" s="6">
        <v>73</v>
      </c>
      <c r="F211" s="4" t="s">
        <v>45</v>
      </c>
      <c r="G211" s="4" t="s">
        <v>904</v>
      </c>
      <c r="H211" s="4" t="s">
        <v>905</v>
      </c>
      <c r="I211" s="5" t="str">
        <f>HYPERLINK("https://search.naver.com/search.naver?where=blog&amp;query=%EB%A7%88%EC%84%B1%EC%86%8C%EA%B5%AD%EB%B0%A5+%EB%8C%80%EC%A0%84%EC%97%AD%EC%A0%90+%EB%8F%99%EA%B5%AC","블로그 보기")</f>
        <v>블로그 보기</v>
      </c>
      <c r="J211" s="5"/>
      <c r="K211" s="5"/>
      <c r="L211" s="4"/>
      <c r="M211" s="7">
        <v>46220</v>
      </c>
      <c r="N211" s="8">
        <v>100</v>
      </c>
      <c r="O211" s="8">
        <v>95</v>
      </c>
      <c r="P211" s="8">
        <v>1027</v>
      </c>
      <c r="Q211" s="8">
        <v>4</v>
      </c>
      <c r="R211" s="8">
        <v>1</v>
      </c>
      <c r="S211" s="4" t="s">
        <v>906</v>
      </c>
      <c r="T211" s="9">
        <v>36.3306483</v>
      </c>
      <c r="U211" s="9">
        <v>127.4316214</v>
      </c>
    </row>
    <row r="212" spans="1:21" ht="32.1" customHeight="1">
      <c r="A212" s="5" t="s">
        <v>36</v>
      </c>
      <c r="B212" s="5" t="s">
        <v>10</v>
      </c>
      <c r="C212" s="4" t="s">
        <v>907</v>
      </c>
      <c r="D212" s="4" t="s">
        <v>38</v>
      </c>
      <c r="E212" s="6">
        <v>72</v>
      </c>
      <c r="F212" s="4" t="s">
        <v>908</v>
      </c>
      <c r="G212" s="4" t="s">
        <v>909</v>
      </c>
      <c r="H212" s="4" t="s">
        <v>910</v>
      </c>
      <c r="I212" s="5" t="str">
        <f>HYPERLINK("https://search.naver.com/search.naver?where=blog&amp;query=%EA%B3%A0%ED%96%A5%EC%B4%8C%EC%B9%BC%EA%B5%AD%EC%88%98+%EB%8F%99%EA%B5%AC","블로그 보기")</f>
        <v>블로그 보기</v>
      </c>
      <c r="J212" s="5"/>
      <c r="K212" s="5"/>
      <c r="L212" s="4"/>
      <c r="M212" s="7">
        <v>46189</v>
      </c>
      <c r="N212" s="8">
        <v>9</v>
      </c>
      <c r="O212" s="8">
        <v>71</v>
      </c>
      <c r="P212" s="8">
        <v>76</v>
      </c>
      <c r="Q212" s="8">
        <v>4</v>
      </c>
      <c r="R212" s="8">
        <v>2</v>
      </c>
      <c r="S212" s="4" t="s">
        <v>911</v>
      </c>
      <c r="T212" s="9">
        <v>36.337896399999998</v>
      </c>
      <c r="U212" s="9">
        <v>127.4572158</v>
      </c>
    </row>
    <row r="213" spans="1:21" ht="32.1" customHeight="1">
      <c r="A213" s="5" t="s">
        <v>36</v>
      </c>
      <c r="B213" s="5" t="s">
        <v>10</v>
      </c>
      <c r="C213" s="4" t="s">
        <v>912</v>
      </c>
      <c r="D213" s="4" t="s">
        <v>913</v>
      </c>
      <c r="E213" s="6">
        <v>72</v>
      </c>
      <c r="F213" s="4" t="s">
        <v>56</v>
      </c>
      <c r="G213" s="4" t="s">
        <v>914</v>
      </c>
      <c r="H213" s="4" t="s">
        <v>915</v>
      </c>
      <c r="I213" s="5" t="str">
        <f>HYPERLINK("https://search.naver.com/search.naver?where=blog&amp;query=%EB%8C%80%EB%B0%95%EA%B5%AC%EC%9D%B4+%EB%8F%99%EA%B5%AC","블로그 보기")</f>
        <v>블로그 보기</v>
      </c>
      <c r="J213" s="5"/>
      <c r="K213" s="5"/>
      <c r="L213" s="4"/>
      <c r="M213" s="7">
        <v>46223</v>
      </c>
      <c r="N213" s="8">
        <v>100</v>
      </c>
      <c r="O213" s="8">
        <v>95</v>
      </c>
      <c r="P213" s="8">
        <v>15463</v>
      </c>
      <c r="Q213" s="8">
        <v>4</v>
      </c>
      <c r="R213" s="8">
        <v>2</v>
      </c>
      <c r="S213" s="4" t="s">
        <v>916</v>
      </c>
      <c r="T213" s="9">
        <v>36.3434247</v>
      </c>
      <c r="U213" s="9">
        <v>127.4499046</v>
      </c>
    </row>
    <row r="214" spans="1:21" ht="32.1" customHeight="1">
      <c r="A214" s="5" t="s">
        <v>36</v>
      </c>
      <c r="B214" s="5" t="s">
        <v>10</v>
      </c>
      <c r="C214" s="4" t="s">
        <v>917</v>
      </c>
      <c r="D214" s="4" t="s">
        <v>96</v>
      </c>
      <c r="E214" s="6">
        <v>71</v>
      </c>
      <c r="F214" s="4" t="s">
        <v>302</v>
      </c>
      <c r="G214" s="4" t="s">
        <v>918</v>
      </c>
      <c r="H214" s="4" t="s">
        <v>919</v>
      </c>
      <c r="I214" s="5" t="str">
        <f>HYPERLINK("https://search.naver.com/search.naver?where=blog&amp;query=%EB%8C%80%EB%8F%8C%EB%B0%B0%EA%B8%B0+%ED%8C%90%EC%95%94%EC%A0%90+%EB%8F%99%EA%B5%AC","블로그 보기")</f>
        <v>블로그 보기</v>
      </c>
      <c r="J214" s="5"/>
      <c r="K214" s="5"/>
      <c r="L214" s="4"/>
      <c r="M214" s="7">
        <v>46196</v>
      </c>
      <c r="N214" s="8">
        <v>25</v>
      </c>
      <c r="O214" s="8">
        <v>55</v>
      </c>
      <c r="P214" s="8">
        <v>60</v>
      </c>
      <c r="Q214" s="8">
        <v>5</v>
      </c>
      <c r="R214" s="8">
        <v>2</v>
      </c>
      <c r="S214" s="4" t="s">
        <v>920</v>
      </c>
      <c r="T214" s="9">
        <v>36.317929700000001</v>
      </c>
      <c r="U214" s="9">
        <v>127.4596047</v>
      </c>
    </row>
    <row r="215" spans="1:21" ht="32.1" customHeight="1">
      <c r="A215" s="5" t="s">
        <v>36</v>
      </c>
      <c r="B215" s="5" t="s">
        <v>10</v>
      </c>
      <c r="C215" s="4" t="s">
        <v>921</v>
      </c>
      <c r="D215" s="4" t="s">
        <v>38</v>
      </c>
      <c r="E215" s="6">
        <v>71</v>
      </c>
      <c r="F215" s="4" t="s">
        <v>39</v>
      </c>
      <c r="G215" s="4" t="s">
        <v>922</v>
      </c>
      <c r="H215" s="4" t="s">
        <v>923</v>
      </c>
      <c r="I215" s="5" t="str">
        <f>HYPERLINK("https://search.naver.com/search.naver?where=blog&amp;query=%ED%99%A9%EC%94%A8+%EB%B2%84%EC%84%AF+%EC%83%A4%EB%B8%8C%EC%83%A4%EB%B8%8C%EC%B9%BC%EA%B5%AD%EC%88%98+%EC%9A%A9%EC%9A%B4%EB%8F%99","블로그 보기")</f>
        <v>블로그 보기</v>
      </c>
      <c r="J215" s="5"/>
      <c r="K215" s="5"/>
      <c r="L215" s="4"/>
      <c r="M215" s="7">
        <v>46221</v>
      </c>
      <c r="N215" s="8">
        <v>100</v>
      </c>
      <c r="O215" s="8">
        <v>96</v>
      </c>
      <c r="P215" s="8">
        <v>718</v>
      </c>
      <c r="Q215" s="8">
        <v>3</v>
      </c>
      <c r="R215" s="8">
        <v>2</v>
      </c>
      <c r="S215" s="4" t="s">
        <v>911</v>
      </c>
      <c r="T215" s="9">
        <v>36.3263915</v>
      </c>
      <c r="U215" s="9">
        <v>127.4617543</v>
      </c>
    </row>
    <row r="216" spans="1:21" ht="32.1" customHeight="1">
      <c r="A216" s="5" t="s">
        <v>36</v>
      </c>
      <c r="B216" s="5" t="s">
        <v>10</v>
      </c>
      <c r="C216" s="4" t="s">
        <v>924</v>
      </c>
      <c r="D216" s="4" t="s">
        <v>71</v>
      </c>
      <c r="E216" s="6">
        <v>69</v>
      </c>
      <c r="F216" s="4" t="s">
        <v>925</v>
      </c>
      <c r="G216" s="4" t="s">
        <v>926</v>
      </c>
      <c r="H216" s="4" t="s">
        <v>927</v>
      </c>
      <c r="I216" s="5" t="str">
        <f>HYPERLINK("https://search.naver.com/search.naver?where=blog&amp;query=%EB%8C%80%EC%A0%84+%EC%B9%BC%EA%B5%AD%EC%88%98+%EC%A1%B1%EB%B0%9C+%EC%AD%88%EA%BE%B8%EB%AF%B8%EB%B3%B6%EC%9D%8C+%EB%B3%B8%EC%A0%90+%EB%8F%99%EA%B5%AC","블로그 보기")</f>
        <v>블로그 보기</v>
      </c>
      <c r="J216" s="5" t="str">
        <f>HYPERLINK("https://www.instagram.com/daejeon_kalguksu_jokbal?igsh=bWZ5Mnh5NDJicWI4","업체 보기")</f>
        <v>업체 보기</v>
      </c>
      <c r="K216" s="5"/>
      <c r="L216" s="4"/>
      <c r="M216" s="7">
        <v>46223</v>
      </c>
      <c r="N216" s="8">
        <v>100</v>
      </c>
      <c r="O216" s="8">
        <v>65</v>
      </c>
      <c r="P216" s="8">
        <v>7642</v>
      </c>
      <c r="Q216" s="8">
        <v>1</v>
      </c>
      <c r="R216" s="8">
        <v>0</v>
      </c>
      <c r="S216" s="4" t="s">
        <v>928</v>
      </c>
      <c r="T216" s="9">
        <v>36.317795799999999</v>
      </c>
      <c r="U216" s="9">
        <v>127.4392849</v>
      </c>
    </row>
    <row r="217" spans="1:21" ht="32.1" customHeight="1">
      <c r="A217" s="5" t="s">
        <v>36</v>
      </c>
      <c r="B217" s="5" t="s">
        <v>10</v>
      </c>
      <c r="C217" s="4" t="s">
        <v>929</v>
      </c>
      <c r="D217" s="4" t="s">
        <v>231</v>
      </c>
      <c r="E217" s="6">
        <v>69</v>
      </c>
      <c r="F217" s="4" t="s">
        <v>126</v>
      </c>
      <c r="G217" s="4" t="s">
        <v>930</v>
      </c>
      <c r="H217" s="4" t="s">
        <v>931</v>
      </c>
      <c r="I217" s="5" t="str">
        <f>HYPERLINK("https://search.naver.com/search.naver?where=blog&amp;query=%EB%8F%88%EC%95%A4%EC%82%BC%EA%B2%B9+%EB%8C%80%EC%A0%84%EB%B3%B8%EC%A0%90+%EB%8F%99%EA%B5%AC","블로그 보기")</f>
        <v>블로그 보기</v>
      </c>
      <c r="J217" s="5" t="str">
        <f>HYPERLINK("https://www.instagram.com/don_sam_daejeon","업체 보기")</f>
        <v>업체 보기</v>
      </c>
      <c r="K217" s="5"/>
      <c r="L217" s="4"/>
      <c r="M217" s="7">
        <v>46211</v>
      </c>
      <c r="N217" s="8">
        <v>100</v>
      </c>
      <c r="O217" s="8">
        <v>97</v>
      </c>
      <c r="P217" s="8">
        <v>655</v>
      </c>
      <c r="Q217" s="8">
        <v>2</v>
      </c>
      <c r="R217" s="8">
        <v>1</v>
      </c>
      <c r="S217" s="4" t="s">
        <v>932</v>
      </c>
      <c r="T217" s="9">
        <v>36.333263600000002</v>
      </c>
      <c r="U217" s="9">
        <v>127.45569709999999</v>
      </c>
    </row>
    <row r="218" spans="1:21" ht="32.1" customHeight="1">
      <c r="A218" s="5" t="s">
        <v>36</v>
      </c>
      <c r="B218" s="5" t="s">
        <v>10</v>
      </c>
      <c r="C218" s="4" t="s">
        <v>933</v>
      </c>
      <c r="D218" s="4" t="s">
        <v>934</v>
      </c>
      <c r="E218" s="6">
        <v>69</v>
      </c>
      <c r="F218" s="4" t="s">
        <v>935</v>
      </c>
      <c r="G218" s="4" t="s">
        <v>936</v>
      </c>
      <c r="H218" s="4" t="s">
        <v>937</v>
      </c>
      <c r="I218" s="5" t="str">
        <f>HYPERLINK("https://search.naver.com/search.naver?where=blog&amp;query=%EB%9D%BC%ED%99%8D%EB%B0%A9%EB%A7%88%EB%9D%BC%ED%83%95+%EB%8C%80%EC%A0%84%EC%9A%A9%EC%9A%B4%EC%A0%90+%EB%8F%99%EA%B5%AC","블로그 보기")</f>
        <v>블로그 보기</v>
      </c>
      <c r="J218" s="5" t="str">
        <f>HYPERLINK("http://lahongbang.com","업체 보기")</f>
        <v>업체 보기</v>
      </c>
      <c r="K218" s="5"/>
      <c r="L218" s="4"/>
      <c r="M218" s="7">
        <v>46220</v>
      </c>
      <c r="N218" s="8">
        <v>74</v>
      </c>
      <c r="O218" s="8">
        <v>40</v>
      </c>
      <c r="P218" s="8">
        <v>127</v>
      </c>
      <c r="Q218" s="8">
        <v>3</v>
      </c>
      <c r="R218" s="8">
        <v>2</v>
      </c>
      <c r="S218" s="4" t="s">
        <v>938</v>
      </c>
      <c r="T218" s="9">
        <v>36.328119999999998</v>
      </c>
      <c r="U218" s="9">
        <v>127.4602082</v>
      </c>
    </row>
    <row r="219" spans="1:21" ht="32.1" customHeight="1">
      <c r="A219" s="5" t="s">
        <v>36</v>
      </c>
      <c r="B219" s="5" t="s">
        <v>10</v>
      </c>
      <c r="C219" s="4" t="s">
        <v>939</v>
      </c>
      <c r="D219" s="4" t="s">
        <v>96</v>
      </c>
      <c r="E219" s="6">
        <v>69</v>
      </c>
      <c r="F219" s="4" t="s">
        <v>940</v>
      </c>
      <c r="G219" s="4" t="s">
        <v>941</v>
      </c>
      <c r="H219" s="4" t="s">
        <v>942</v>
      </c>
      <c r="I219" s="5" t="str">
        <f>HYPERLINK("https://search.naver.com/search.naver?where=blog&amp;query=%EC%97%B0%ED%83%84%EA%B8%B8+%EB%8F%99%EA%B5%AC","블로그 보기")</f>
        <v>블로그 보기</v>
      </c>
      <c r="J219" s="5"/>
      <c r="K219" s="5"/>
      <c r="L219" s="4"/>
      <c r="M219" s="7">
        <v>46197</v>
      </c>
      <c r="N219" s="8">
        <v>40</v>
      </c>
      <c r="O219" s="8">
        <v>98</v>
      </c>
      <c r="P219" s="8">
        <v>326</v>
      </c>
      <c r="Q219" s="8">
        <v>4</v>
      </c>
      <c r="R219" s="8">
        <v>2</v>
      </c>
      <c r="S219" s="4" t="s">
        <v>943</v>
      </c>
      <c r="T219" s="9">
        <v>36.316014899999999</v>
      </c>
      <c r="U219" s="9">
        <v>127.4399557</v>
      </c>
    </row>
    <row r="220" spans="1:21" ht="32.1" customHeight="1">
      <c r="A220" s="5" t="s">
        <v>36</v>
      </c>
      <c r="B220" s="5" t="s">
        <v>10</v>
      </c>
      <c r="C220" s="4" t="s">
        <v>944</v>
      </c>
      <c r="D220" s="4" t="s">
        <v>96</v>
      </c>
      <c r="E220" s="6">
        <v>68</v>
      </c>
      <c r="F220" s="4" t="s">
        <v>45</v>
      </c>
      <c r="G220" s="4" t="s">
        <v>945</v>
      </c>
      <c r="H220" s="4" t="s">
        <v>946</v>
      </c>
      <c r="I220" s="5" t="str">
        <f>HYPERLINK("https://search.naver.com/search.naver?where=blog&amp;query=%EC%8C%8D%EC%B2%AD%EA%B3%A0%EA%B8%B0%EB%A7%88%EC%9D%84+%EB%8C%80%EC%A0%84%ED%95%9C%EC%9A%B0+%EB%8F%99%EA%B5%AC","블로그 보기")</f>
        <v>블로그 보기</v>
      </c>
      <c r="J220" s="5" t="str">
        <f>HYPERLINK("https://www.instagram.com/ssangcheong__/","업체 보기")</f>
        <v>업체 보기</v>
      </c>
      <c r="K220" s="5"/>
      <c r="L220" s="4"/>
      <c r="M220" s="7">
        <v>46222</v>
      </c>
      <c r="N220" s="8">
        <v>100</v>
      </c>
      <c r="O220" s="8">
        <v>87</v>
      </c>
      <c r="P220" s="8">
        <v>1380</v>
      </c>
      <c r="Q220" s="8">
        <v>2</v>
      </c>
      <c r="R220" s="8">
        <v>2</v>
      </c>
      <c r="S220" s="4" t="s">
        <v>947</v>
      </c>
      <c r="T220" s="9">
        <v>36.320735599999999</v>
      </c>
      <c r="U220" s="9">
        <v>127.45578399999999</v>
      </c>
    </row>
    <row r="221" spans="1:21" ht="32.1" customHeight="1">
      <c r="A221" s="5" t="s">
        <v>36</v>
      </c>
      <c r="B221" s="5" t="s">
        <v>10</v>
      </c>
      <c r="C221" s="4" t="s">
        <v>948</v>
      </c>
      <c r="D221" s="4" t="s">
        <v>853</v>
      </c>
      <c r="E221" s="6">
        <v>68</v>
      </c>
      <c r="F221" s="4" t="s">
        <v>236</v>
      </c>
      <c r="G221" s="4" t="s">
        <v>949</v>
      </c>
      <c r="H221" s="4" t="s">
        <v>950</v>
      </c>
      <c r="I221" s="5" t="str">
        <f>HYPERLINK("https://search.naver.com/search.naver?where=blog&amp;query=%ED%98%B8%EB%8F%8C%EC%9D%B4%EB%A7%8C%EB%91%90+%EB%8F%99%EA%B5%AC","블로그 보기")</f>
        <v>블로그 보기</v>
      </c>
      <c r="J221" s="5"/>
      <c r="K221" s="5"/>
      <c r="L221" s="4"/>
      <c r="M221" s="7">
        <v>46203</v>
      </c>
      <c r="N221" s="8">
        <v>27</v>
      </c>
      <c r="O221" s="8">
        <v>99</v>
      </c>
      <c r="P221" s="8">
        <v>156</v>
      </c>
      <c r="Q221" s="8">
        <v>4</v>
      </c>
      <c r="R221" s="8">
        <v>2</v>
      </c>
      <c r="S221" s="4" t="s">
        <v>943</v>
      </c>
      <c r="T221" s="9">
        <v>36.327973200000002</v>
      </c>
      <c r="U221" s="9">
        <v>127.4380697</v>
      </c>
    </row>
    <row r="222" spans="1:21" ht="32.1" hidden="1" customHeight="1">
      <c r="A222" s="5" t="s">
        <v>1857</v>
      </c>
      <c r="B222" s="5" t="s">
        <v>10</v>
      </c>
      <c r="C222" s="4" t="s">
        <v>951</v>
      </c>
      <c r="D222" s="4" t="s">
        <v>136</v>
      </c>
      <c r="E222" s="6">
        <v>67</v>
      </c>
      <c r="F222" s="4" t="s">
        <v>45</v>
      </c>
      <c r="G222" s="4" t="s">
        <v>952</v>
      </c>
      <c r="H222" s="4" t="s">
        <v>953</v>
      </c>
      <c r="I222" s="5" t="str">
        <f>HYPERLINK("https://search.naver.com/search.naver?where=blog&amp;query=%EC%83%A4%EB%B8%8C%EB%A7%88%EB%8B%88%EC%95%84+%EB%8C%80%EC%A0%84%EC%9A%A9%EC%9A%B4%EC%A0%90+%EB%8F%99%EA%B5%AC","블로그 보기")</f>
        <v>블로그 보기</v>
      </c>
      <c r="J222" s="5"/>
      <c r="K222" s="5"/>
      <c r="L222" s="4"/>
      <c r="M222" s="7">
        <v>46223</v>
      </c>
      <c r="N222" s="8">
        <v>100</v>
      </c>
      <c r="O222" s="8">
        <v>99</v>
      </c>
      <c r="P222" s="8">
        <v>446</v>
      </c>
      <c r="Q222" s="8">
        <v>3</v>
      </c>
      <c r="R222" s="8">
        <v>1</v>
      </c>
      <c r="S222" s="4" t="s">
        <v>954</v>
      </c>
      <c r="T222" s="9">
        <v>36.334200000000003</v>
      </c>
      <c r="U222" s="9">
        <v>127.4556125</v>
      </c>
    </row>
    <row r="223" spans="1:21" ht="32.1" customHeight="1">
      <c r="A223" s="5" t="s">
        <v>36</v>
      </c>
      <c r="B223" s="5" t="s">
        <v>10</v>
      </c>
      <c r="C223" s="4" t="s">
        <v>955</v>
      </c>
      <c r="D223" s="4" t="s">
        <v>119</v>
      </c>
      <c r="E223" s="6">
        <v>66</v>
      </c>
      <c r="F223" s="4" t="s">
        <v>956</v>
      </c>
      <c r="G223" s="4" t="s">
        <v>957</v>
      </c>
      <c r="H223" s="4" t="s">
        <v>958</v>
      </c>
      <c r="I223" s="5" t="str">
        <f>HYPERLINK("https://search.naver.com/search.naver?where=blog&amp;query=%EA%B8%88%EC%84%B1%EC%82%BC%EA%B3%84%ED%83%95+%EB%8F%99%EA%B5%AC","블로그 보기")</f>
        <v>블로그 보기</v>
      </c>
      <c r="J223" s="5"/>
      <c r="K223" s="5"/>
      <c r="L223" s="4"/>
      <c r="M223" s="7">
        <v>46218</v>
      </c>
      <c r="N223" s="8">
        <v>97</v>
      </c>
      <c r="O223" s="8">
        <v>97</v>
      </c>
      <c r="P223" s="8">
        <v>455</v>
      </c>
      <c r="Q223" s="8">
        <v>4</v>
      </c>
      <c r="R223" s="8">
        <v>1</v>
      </c>
      <c r="S223" s="4" t="s">
        <v>959</v>
      </c>
      <c r="T223" s="9">
        <v>36.332189100000001</v>
      </c>
      <c r="U223" s="9">
        <v>127.4288</v>
      </c>
    </row>
    <row r="224" spans="1:21" ht="32.1" customHeight="1">
      <c r="A224" s="5" t="s">
        <v>36</v>
      </c>
      <c r="B224" s="5" t="s">
        <v>10</v>
      </c>
      <c r="C224" s="4" t="s">
        <v>960</v>
      </c>
      <c r="D224" s="4" t="s">
        <v>210</v>
      </c>
      <c r="E224" s="6">
        <v>66</v>
      </c>
      <c r="F224" s="4" t="s">
        <v>97</v>
      </c>
      <c r="G224" s="4" t="s">
        <v>961</v>
      </c>
      <c r="H224" s="4" t="s">
        <v>962</v>
      </c>
      <c r="I224" s="5" t="str">
        <f>HYPERLINK("https://search.naver.com/search.naver?where=blog&amp;query=%EB%8F%99%ED%8F%89%EC%86%8C%EA%B5%AD%EB%B0%A5+%EB%B3%B8%EC%A0%90+%EB%8F%99%EA%B5%AC","블로그 보기")</f>
        <v>블로그 보기</v>
      </c>
      <c r="J224" s="5"/>
      <c r="K224" s="5"/>
      <c r="L224" s="4"/>
      <c r="M224" s="7">
        <v>46223</v>
      </c>
      <c r="N224" s="8">
        <v>100</v>
      </c>
      <c r="O224" s="8">
        <v>98</v>
      </c>
      <c r="P224" s="8">
        <v>3605</v>
      </c>
      <c r="Q224" s="8">
        <v>2</v>
      </c>
      <c r="R224" s="8">
        <v>1</v>
      </c>
      <c r="S224" s="4" t="s">
        <v>963</v>
      </c>
      <c r="T224" s="9">
        <v>36.3167294</v>
      </c>
      <c r="U224" s="9">
        <v>127.4550589</v>
      </c>
    </row>
    <row r="225" spans="1:21" ht="32.1" customHeight="1">
      <c r="A225" s="5" t="s">
        <v>36</v>
      </c>
      <c r="B225" s="5" t="s">
        <v>10</v>
      </c>
      <c r="C225" s="4" t="s">
        <v>964</v>
      </c>
      <c r="D225" s="4" t="s">
        <v>965</v>
      </c>
      <c r="E225" s="6">
        <v>66</v>
      </c>
      <c r="F225" s="4" t="s">
        <v>56</v>
      </c>
      <c r="G225" s="4" t="s">
        <v>966</v>
      </c>
      <c r="H225" s="4" t="s">
        <v>967</v>
      </c>
      <c r="I225" s="5" t="str">
        <f>HYPERLINK("https://search.naver.com/search.naver?where=blog&amp;query=%EB%AF%B8%EB%8F%84%EB%A6%AC%EC%B9%B4%EB%A0%88+%EB%8F%99%EA%B5%AC","블로그 보기")</f>
        <v>블로그 보기</v>
      </c>
      <c r="J225" s="5" t="str">
        <f>HYPERLINK("https://www.instagram.com/midori_color","업체 보기")</f>
        <v>업체 보기</v>
      </c>
      <c r="K225" s="5"/>
      <c r="L225" s="4"/>
      <c r="M225" s="7">
        <v>46222</v>
      </c>
      <c r="N225" s="8">
        <v>100</v>
      </c>
      <c r="O225" s="8">
        <v>95</v>
      </c>
      <c r="P225" s="8">
        <v>605</v>
      </c>
      <c r="Q225" s="8">
        <v>3</v>
      </c>
      <c r="R225" s="8">
        <v>2</v>
      </c>
      <c r="S225" s="4" t="s">
        <v>968</v>
      </c>
      <c r="T225" s="9">
        <v>36.336087200000001</v>
      </c>
      <c r="U225" s="9">
        <v>127.43682819999999</v>
      </c>
    </row>
    <row r="226" spans="1:21" ht="32.1" customHeight="1">
      <c r="A226" s="5" t="s">
        <v>36</v>
      </c>
      <c r="B226" s="5" t="s">
        <v>10</v>
      </c>
      <c r="C226" s="4" t="s">
        <v>969</v>
      </c>
      <c r="D226" s="4" t="s">
        <v>306</v>
      </c>
      <c r="E226" s="6">
        <v>66</v>
      </c>
      <c r="F226" s="4" t="s">
        <v>45</v>
      </c>
      <c r="G226" s="4" t="s">
        <v>970</v>
      </c>
      <c r="H226" s="4" t="s">
        <v>971</v>
      </c>
      <c r="I226" s="5" t="str">
        <f>HYPERLINK("https://search.naver.com/search.naver?where=blog&amp;query=%EC%99%95%EB%8F%88%EA%B0%80%EC%8A%A4+%EB%8C%80%EC%A0%84%EB%8C%80%EB%82%A8%EB%AC%B8%EC%A0%90+%EB%8F%99%EA%B5%AC","블로그 보기")</f>
        <v>블로그 보기</v>
      </c>
      <c r="J226" s="5"/>
      <c r="K226" s="5"/>
      <c r="L226" s="4"/>
      <c r="M226" s="7">
        <v>46223</v>
      </c>
      <c r="N226" s="8">
        <v>100</v>
      </c>
      <c r="O226" s="8">
        <v>93</v>
      </c>
      <c r="P226" s="8">
        <v>2610</v>
      </c>
      <c r="Q226" s="8">
        <v>2</v>
      </c>
      <c r="R226" s="8">
        <v>1</v>
      </c>
      <c r="S226" s="4" t="s">
        <v>972</v>
      </c>
      <c r="T226" s="9">
        <v>36.3311809</v>
      </c>
      <c r="U226" s="9">
        <v>127.4609485</v>
      </c>
    </row>
    <row r="227" spans="1:21" ht="32.1" customHeight="1">
      <c r="A227" s="5" t="s">
        <v>36</v>
      </c>
      <c r="B227" s="5" t="s">
        <v>10</v>
      </c>
      <c r="C227" s="4" t="s">
        <v>973</v>
      </c>
      <c r="D227" s="4" t="s">
        <v>96</v>
      </c>
      <c r="E227" s="6">
        <v>65</v>
      </c>
      <c r="F227" s="4" t="s">
        <v>45</v>
      </c>
      <c r="G227" s="4" t="s">
        <v>974</v>
      </c>
      <c r="H227" s="4" t="s">
        <v>975</v>
      </c>
      <c r="I227" s="5" t="str">
        <f>HYPERLINK("https://search.naver.com/search.naver?where=blog&amp;query=%EB%93%B1%EB%B6%88%ED%9A%8C%EA%B4%80+%EB%8C%80%EC%A0%84%ED%8C%90%EC%95%94%EB%8F%99%EC%A0%90+%EB%8F%99%EA%B5%AC","블로그 보기")</f>
        <v>블로그 보기</v>
      </c>
      <c r="J227" s="5"/>
      <c r="K227" s="5"/>
      <c r="L227" s="4"/>
      <c r="M227" s="7">
        <v>46219</v>
      </c>
      <c r="N227" s="8">
        <v>100</v>
      </c>
      <c r="O227" s="8">
        <v>100</v>
      </c>
      <c r="P227" s="8">
        <v>1585</v>
      </c>
      <c r="Q227" s="8">
        <v>2</v>
      </c>
      <c r="R227" s="8">
        <v>1</v>
      </c>
      <c r="S227" s="4" t="s">
        <v>976</v>
      </c>
      <c r="T227" s="9">
        <v>36.317395599999998</v>
      </c>
      <c r="U227" s="9">
        <v>127.4558674</v>
      </c>
    </row>
    <row r="228" spans="1:21" ht="32.1" customHeight="1">
      <c r="A228" s="5" t="s">
        <v>36</v>
      </c>
      <c r="B228" s="5" t="s">
        <v>10</v>
      </c>
      <c r="C228" s="4" t="s">
        <v>977</v>
      </c>
      <c r="D228" s="4" t="s">
        <v>125</v>
      </c>
      <c r="E228" s="6">
        <v>65</v>
      </c>
      <c r="F228" s="4" t="s">
        <v>281</v>
      </c>
      <c r="G228" s="4" t="s">
        <v>978</v>
      </c>
      <c r="H228" s="4" t="s">
        <v>979</v>
      </c>
      <c r="I228" s="5" t="str">
        <f>HYPERLINK("https://search.naver.com/search.naver?where=blog&amp;query=%EC%A1%B0%EA%B8%B0%EC%A2%85%EC%9D%98%ED%96%A5%EB%AF%B8%EA%B0%81+%EB%8F%99%EA%B5%AC","블로그 보기")</f>
        <v>블로그 보기</v>
      </c>
      <c r="J228" s="5"/>
      <c r="K228" s="5"/>
      <c r="L228" s="4"/>
      <c r="M228" s="7">
        <v>46205</v>
      </c>
      <c r="N228" s="8">
        <v>44</v>
      </c>
      <c r="O228" s="8">
        <v>97</v>
      </c>
      <c r="P228" s="8">
        <v>224</v>
      </c>
      <c r="Q228" s="8">
        <v>3</v>
      </c>
      <c r="R228" s="8">
        <v>2</v>
      </c>
      <c r="S228" s="4" t="s">
        <v>938</v>
      </c>
      <c r="T228" s="9">
        <v>36.322534599999997</v>
      </c>
      <c r="U228" s="9">
        <v>127.462395</v>
      </c>
    </row>
    <row r="229" spans="1:21" ht="32.1" customHeight="1">
      <c r="A229" s="5" t="s">
        <v>36</v>
      </c>
      <c r="B229" s="5" t="s">
        <v>10</v>
      </c>
      <c r="C229" s="4" t="s">
        <v>980</v>
      </c>
      <c r="D229" s="4" t="s">
        <v>634</v>
      </c>
      <c r="E229" s="6">
        <v>65</v>
      </c>
      <c r="F229" s="4" t="s">
        <v>45</v>
      </c>
      <c r="G229" s="4" t="s">
        <v>981</v>
      </c>
      <c r="H229" s="4" t="s">
        <v>982</v>
      </c>
      <c r="I229" s="5" t="str">
        <f>HYPERLINK("https://search.naver.com/search.naver?where=blog&amp;query=%ED%9B%84%EB%A3%A8%EB%A3%A9%EB%8C%80%EC%A0%84+%EB%8F%99%EA%B5%AC","블로그 보기")</f>
        <v>블로그 보기</v>
      </c>
      <c r="J229" s="5" t="str">
        <f>HYPERLINK("http://pf.kakao.com/_qiHbn","업체 보기")</f>
        <v>업체 보기</v>
      </c>
      <c r="K229" s="5"/>
      <c r="L229" s="4"/>
      <c r="M229" s="7">
        <v>46222</v>
      </c>
      <c r="N229" s="8">
        <v>100</v>
      </c>
      <c r="O229" s="8">
        <v>97</v>
      </c>
      <c r="P229" s="8">
        <v>1872</v>
      </c>
      <c r="Q229" s="8">
        <v>2</v>
      </c>
      <c r="R229" s="8">
        <v>1</v>
      </c>
      <c r="S229" s="4" t="s">
        <v>983</v>
      </c>
      <c r="T229" s="9">
        <v>36.335282900000003</v>
      </c>
      <c r="U229" s="9">
        <v>127.4371057</v>
      </c>
    </row>
    <row r="230" spans="1:21" ht="32.1" customHeight="1">
      <c r="A230" s="5" t="s">
        <v>36</v>
      </c>
      <c r="B230" s="5" t="s">
        <v>10</v>
      </c>
      <c r="C230" s="4" t="s">
        <v>984</v>
      </c>
      <c r="D230" s="4" t="s">
        <v>248</v>
      </c>
      <c r="E230" s="6">
        <v>64</v>
      </c>
      <c r="F230" s="4" t="s">
        <v>467</v>
      </c>
      <c r="G230" s="4" t="s">
        <v>985</v>
      </c>
      <c r="H230" s="4" t="s">
        <v>986</v>
      </c>
      <c r="I230" s="5" t="str">
        <f>HYPERLINK("https://search.naver.com/search.naver?where=blog&amp;query=%EB%8B%AC%EC%9D%B8%EA%B9%80%EB%B0%A5%EC%B2%9C%EA%B5%AD+%EB%8F%99%EA%B5%AC","블로그 보기")</f>
        <v>블로그 보기</v>
      </c>
      <c r="J230" s="5"/>
      <c r="K230" s="5"/>
      <c r="L230" s="4"/>
      <c r="M230" s="7">
        <v>46180</v>
      </c>
      <c r="N230" s="8">
        <v>6</v>
      </c>
      <c r="O230" s="8">
        <v>46</v>
      </c>
      <c r="P230" s="8">
        <v>61</v>
      </c>
      <c r="Q230" s="8">
        <v>4</v>
      </c>
      <c r="R230" s="8">
        <v>2</v>
      </c>
      <c r="S230" s="4" t="s">
        <v>987</v>
      </c>
      <c r="T230" s="9">
        <v>36.330871199999997</v>
      </c>
      <c r="U230" s="9">
        <v>127.4634532</v>
      </c>
    </row>
    <row r="231" spans="1:21" ht="32.1" customHeight="1">
      <c r="A231" s="5" t="s">
        <v>36</v>
      </c>
      <c r="B231" s="5" t="s">
        <v>10</v>
      </c>
      <c r="C231" s="4" t="s">
        <v>988</v>
      </c>
      <c r="D231" s="4" t="s">
        <v>248</v>
      </c>
      <c r="E231" s="6">
        <v>64</v>
      </c>
      <c r="F231" s="4" t="s">
        <v>56</v>
      </c>
      <c r="G231" s="4" t="s">
        <v>989</v>
      </c>
      <c r="H231" s="4" t="s">
        <v>990</v>
      </c>
      <c r="I231" s="5" t="str">
        <f>HYPERLINK("https://search.naver.com/search.naver?where=blog&amp;query=%EC%99%95%EB%8F%88%EA%B9%8C%EC%8A%A4+%EB%8F%99%EA%B5%AC","블로그 보기")</f>
        <v>블로그 보기</v>
      </c>
      <c r="J231" s="5"/>
      <c r="K231" s="5"/>
      <c r="L231" s="4"/>
      <c r="M231" s="7">
        <v>46223</v>
      </c>
      <c r="N231" s="8">
        <v>100</v>
      </c>
      <c r="O231" s="8">
        <v>98</v>
      </c>
      <c r="P231" s="8">
        <v>4635</v>
      </c>
      <c r="Q231" s="8">
        <v>2</v>
      </c>
      <c r="R231" s="8">
        <v>2</v>
      </c>
      <c r="S231" s="4" t="s">
        <v>987</v>
      </c>
      <c r="T231" s="9">
        <v>36.331175700000003</v>
      </c>
      <c r="U231" s="9">
        <v>127.4609796</v>
      </c>
    </row>
    <row r="232" spans="1:21" ht="32.1" customHeight="1">
      <c r="A232" s="5" t="s">
        <v>36</v>
      </c>
      <c r="B232" s="5" t="s">
        <v>10</v>
      </c>
      <c r="C232" s="4" t="s">
        <v>991</v>
      </c>
      <c r="D232" s="4" t="s">
        <v>210</v>
      </c>
      <c r="E232" s="6">
        <v>64</v>
      </c>
      <c r="F232" s="4" t="s">
        <v>190</v>
      </c>
      <c r="G232" s="4" t="s">
        <v>992</v>
      </c>
      <c r="H232" s="4" t="s">
        <v>993</v>
      </c>
      <c r="I232" s="5" t="str">
        <f>HYPERLINK("https://search.naver.com/search.naver?where=blog&amp;query=%EC%9D%B4%EC%88%9C%EC%8B%A0%EC%86%8C%EA%B5%AD%EB%B0%A5+%EC%9A%A9%EC%9A%B4%EC%9E%A5%EA%B5%B0%EC%A0%90+%EB%8F%99%EA%B5%AC","블로그 보기")</f>
        <v>블로그 보기</v>
      </c>
      <c r="J232" s="5"/>
      <c r="K232" s="5"/>
      <c r="L232" s="4"/>
      <c r="M232" s="7">
        <v>46185</v>
      </c>
      <c r="N232" s="8">
        <v>16</v>
      </c>
      <c r="O232" s="8">
        <v>68</v>
      </c>
      <c r="P232" s="8">
        <v>82</v>
      </c>
      <c r="Q232" s="8">
        <v>4</v>
      </c>
      <c r="R232" s="8">
        <v>1</v>
      </c>
      <c r="S232" s="4" t="s">
        <v>994</v>
      </c>
      <c r="T232" s="9">
        <v>36.332722500000003</v>
      </c>
      <c r="U232" s="9">
        <v>127.4562703</v>
      </c>
    </row>
    <row r="233" spans="1:21" ht="32.1" customHeight="1">
      <c r="A233" s="5" t="s">
        <v>36</v>
      </c>
      <c r="B233" s="5" t="s">
        <v>10</v>
      </c>
      <c r="C233" s="4" t="s">
        <v>995</v>
      </c>
      <c r="D233" s="4" t="s">
        <v>96</v>
      </c>
      <c r="E233" s="6">
        <v>63</v>
      </c>
      <c r="F233" s="4" t="s">
        <v>126</v>
      </c>
      <c r="G233" s="4" t="s">
        <v>996</v>
      </c>
      <c r="H233" s="4" t="s">
        <v>997</v>
      </c>
      <c r="I233" s="5" t="str">
        <f>HYPERLINK("https://search.naver.com/search.naver?where=blog&amp;query=%EC%9E%A5%EA%B5%B0%EB%92%B7%EA%B3%A0%EA%B8%B0+%EB%8C%80%EC%A0%84%EB%B3%B8%EC%A0%90+%EB%8F%99%EA%B5%AC","블로그 보기")</f>
        <v>블로그 보기</v>
      </c>
      <c r="J233" s="5" t="str">
        <f>HYPERLINK("https://www.instagram.com/kogibrother?igsh=MTNtMWUzNnI4ZzkwNg==","업체 보기")</f>
        <v>업체 보기</v>
      </c>
      <c r="K233" s="5"/>
      <c r="L233" s="4"/>
      <c r="M233" s="7">
        <v>46221</v>
      </c>
      <c r="N233" s="8">
        <v>100</v>
      </c>
      <c r="O233" s="8">
        <v>96</v>
      </c>
      <c r="P233" s="8">
        <v>1077</v>
      </c>
      <c r="Q233" s="8">
        <v>1</v>
      </c>
      <c r="R233" s="8">
        <v>0</v>
      </c>
      <c r="S233" s="4" t="s">
        <v>998</v>
      </c>
      <c r="T233" s="9">
        <v>36.328155700000003</v>
      </c>
      <c r="U233" s="9">
        <v>127.4567727</v>
      </c>
    </row>
    <row r="234" spans="1:21" ht="32.1" customHeight="1">
      <c r="A234" s="5" t="s">
        <v>36</v>
      </c>
      <c r="B234" s="5" t="s">
        <v>10</v>
      </c>
      <c r="C234" s="4" t="s">
        <v>999</v>
      </c>
      <c r="D234" s="4" t="s">
        <v>1000</v>
      </c>
      <c r="E234" s="6">
        <v>62</v>
      </c>
      <c r="F234" s="4" t="s">
        <v>45</v>
      </c>
      <c r="G234" s="4" t="s">
        <v>1001</v>
      </c>
      <c r="H234" s="4" t="s">
        <v>1002</v>
      </c>
      <c r="I234" s="5" t="str">
        <f>HYPERLINK("https://search.naver.com/search.naver?where=blog&amp;query=%EB%8C%80%EC%A0%84%EA%B0%90%EC%9E%90%ED%83%95+%EB%8F%99%EA%B5%AC","블로그 보기")</f>
        <v>블로그 보기</v>
      </c>
      <c r="J234" s="5"/>
      <c r="K234" s="5"/>
      <c r="L234" s="4"/>
      <c r="M234" s="7">
        <v>46223</v>
      </c>
      <c r="N234" s="8">
        <v>100</v>
      </c>
      <c r="O234" s="8">
        <v>96</v>
      </c>
      <c r="P234" s="8">
        <v>3241</v>
      </c>
      <c r="Q234" s="8">
        <v>1</v>
      </c>
      <c r="R234" s="8">
        <v>1</v>
      </c>
      <c r="S234" s="4" t="s">
        <v>963</v>
      </c>
      <c r="T234" s="9">
        <v>36.318084200000001</v>
      </c>
      <c r="U234" s="9">
        <v>127.46100029999999</v>
      </c>
    </row>
    <row r="235" spans="1:21" ht="32.1" customHeight="1">
      <c r="A235" s="5" t="s">
        <v>36</v>
      </c>
      <c r="B235" s="5" t="s">
        <v>10</v>
      </c>
      <c r="C235" s="4" t="s">
        <v>1003</v>
      </c>
      <c r="D235" s="4" t="s">
        <v>125</v>
      </c>
      <c r="E235" s="6">
        <v>62</v>
      </c>
      <c r="F235" s="4" t="s">
        <v>290</v>
      </c>
      <c r="G235" s="4" t="s">
        <v>1004</v>
      </c>
      <c r="H235" s="4" t="s">
        <v>1005</v>
      </c>
      <c r="I235" s="5" t="str">
        <f>HYPERLINK("https://search.naver.com/search.naver?where=blog&amp;query=%EB%9D%B5%ED%98%B8%EC%99%80%EB%B0%98%EC%A0%90+%EB%8F%99%EA%B5%AC","블로그 보기")</f>
        <v>블로그 보기</v>
      </c>
      <c r="J235" s="5"/>
      <c r="K235" s="5"/>
      <c r="L235" s="4"/>
      <c r="M235" s="7">
        <v>46214</v>
      </c>
      <c r="N235" s="8">
        <v>12</v>
      </c>
      <c r="O235" s="8">
        <v>25</v>
      </c>
      <c r="P235" s="8">
        <v>39</v>
      </c>
      <c r="Q235" s="8">
        <v>3</v>
      </c>
      <c r="R235" s="8">
        <v>2</v>
      </c>
      <c r="S235" s="4" t="s">
        <v>1006</v>
      </c>
      <c r="T235" s="9">
        <v>36.327600400000001</v>
      </c>
      <c r="U235" s="9">
        <v>127.45260829999999</v>
      </c>
    </row>
    <row r="236" spans="1:21" ht="32.1" customHeight="1">
      <c r="A236" s="5" t="s">
        <v>36</v>
      </c>
      <c r="B236" s="5" t="s">
        <v>10</v>
      </c>
      <c r="C236" s="4" t="s">
        <v>1007</v>
      </c>
      <c r="D236" s="4" t="s">
        <v>280</v>
      </c>
      <c r="E236" s="6">
        <v>62</v>
      </c>
      <c r="F236" s="4" t="s">
        <v>126</v>
      </c>
      <c r="G236" s="4" t="s">
        <v>1008</v>
      </c>
      <c r="H236" s="4" t="s">
        <v>1009</v>
      </c>
      <c r="I236" s="5" t="str">
        <f>HYPERLINK("https://search.naver.com/search.naver?where=blog&amp;query=%EC%9E%A5%EA%B0%80%EB%84%A4%EB%8C%80%EA%B5%AC%EC%99%95%EB%BD%88%EB%96%BC%EA%B8%B0+%EB%8C%80%EC%A0%84%EB%B3%B8%EC%A0%90+%EB%8F%99%EA%B5%AC","블로그 보기")</f>
        <v>블로그 보기</v>
      </c>
      <c r="J236" s="5"/>
      <c r="K236" s="5"/>
      <c r="L236" s="4"/>
      <c r="M236" s="7">
        <v>46220</v>
      </c>
      <c r="N236" s="8">
        <v>100</v>
      </c>
      <c r="O236" s="8">
        <v>87</v>
      </c>
      <c r="P236" s="8">
        <v>997</v>
      </c>
      <c r="Q236" s="8">
        <v>1</v>
      </c>
      <c r="R236" s="8">
        <v>0</v>
      </c>
      <c r="S236" s="4" t="s">
        <v>1010</v>
      </c>
      <c r="T236" s="9">
        <v>36.340018200000003</v>
      </c>
      <c r="U236" s="9">
        <v>127.4361394</v>
      </c>
    </row>
    <row r="237" spans="1:21" ht="32.1" customHeight="1">
      <c r="A237" s="5" t="s">
        <v>36</v>
      </c>
      <c r="B237" s="5" t="s">
        <v>10</v>
      </c>
      <c r="C237" s="4" t="s">
        <v>1011</v>
      </c>
      <c r="D237" s="4" t="s">
        <v>38</v>
      </c>
      <c r="E237" s="6">
        <v>62</v>
      </c>
      <c r="F237" s="4" t="s">
        <v>39</v>
      </c>
      <c r="G237" s="4" t="s">
        <v>1012</v>
      </c>
      <c r="H237" s="4" t="s">
        <v>1013</v>
      </c>
      <c r="I237" s="5" t="str">
        <f>HYPERLINK("https://search.naver.com/search.naver?where=blog&amp;query=%EC%A4%91%EC%95%99%ED%95%B4%EB%AC%BC%EC%B9%BC%EA%B5%AD%EC%88%98+%EB%8F%99%EA%B5%AC","블로그 보기")</f>
        <v>블로그 보기</v>
      </c>
      <c r="J237" s="5"/>
      <c r="K237" s="5"/>
      <c r="L237" s="4"/>
      <c r="M237" s="7">
        <v>46223</v>
      </c>
      <c r="N237" s="8">
        <v>100</v>
      </c>
      <c r="O237" s="8">
        <v>99</v>
      </c>
      <c r="P237" s="8">
        <v>3286</v>
      </c>
      <c r="Q237" s="8">
        <v>1</v>
      </c>
      <c r="R237" s="8">
        <v>1</v>
      </c>
      <c r="S237" s="4" t="s">
        <v>1014</v>
      </c>
      <c r="T237" s="9">
        <v>36.329596100000003</v>
      </c>
      <c r="U237" s="9">
        <v>127.4310129</v>
      </c>
    </row>
    <row r="238" spans="1:21" ht="32.1" customHeight="1">
      <c r="A238" s="5" t="s">
        <v>36</v>
      </c>
      <c r="B238" s="5" t="s">
        <v>10</v>
      </c>
      <c r="C238" s="4" t="s">
        <v>1015</v>
      </c>
      <c r="D238" s="4" t="s">
        <v>471</v>
      </c>
      <c r="E238" s="6">
        <v>61</v>
      </c>
      <c r="F238" s="4" t="s">
        <v>156</v>
      </c>
      <c r="G238" s="4" t="s">
        <v>1016</v>
      </c>
      <c r="H238" s="4" t="s">
        <v>1017</v>
      </c>
      <c r="I238" s="5" t="str">
        <f>HYPERLINK("https://search.naver.com/search.naver?where=blog&amp;query=%EA%B5%B4%EC%84%B8%EC%83%81+%EC%9B%90%EB%8F%99%EC%A0%90+%EB%8F%99%EA%B5%AC","블로그 보기")</f>
        <v>블로그 보기</v>
      </c>
      <c r="J238" s="5"/>
      <c r="K238" s="5"/>
      <c r="L238" s="4"/>
      <c r="M238" s="7">
        <v>46176</v>
      </c>
      <c r="N238" s="8">
        <v>9</v>
      </c>
      <c r="O238" s="8">
        <v>18</v>
      </c>
      <c r="P238" s="8">
        <v>18</v>
      </c>
      <c r="Q238" s="8">
        <v>3</v>
      </c>
      <c r="R238" s="8">
        <v>2</v>
      </c>
      <c r="S238" s="4" t="s">
        <v>1018</v>
      </c>
      <c r="T238" s="9">
        <v>36.328412800000002</v>
      </c>
      <c r="U238" s="9">
        <v>127.43356660000001</v>
      </c>
    </row>
    <row r="239" spans="1:21" ht="32.1" customHeight="1">
      <c r="A239" s="5" t="s">
        <v>36</v>
      </c>
      <c r="B239" s="5" t="s">
        <v>10</v>
      </c>
      <c r="C239" s="4" t="s">
        <v>1019</v>
      </c>
      <c r="D239" s="4" t="s">
        <v>141</v>
      </c>
      <c r="E239" s="6">
        <v>61</v>
      </c>
      <c r="F239" s="4" t="s">
        <v>1020</v>
      </c>
      <c r="G239" s="4" t="s">
        <v>1021</v>
      </c>
      <c r="H239" s="4" t="s">
        <v>1022</v>
      </c>
      <c r="I239" s="5" t="str">
        <f>HYPERLINK("https://search.naver.com/search.naver?where=blog&amp;query=%EA%B9%80%EB%B0%A5%EC%B2%9C%EA%B5%AD+%EB%8C%80%EC%A0%84%EC%97%AD%EC%A0%90+%EB%8F%99%EA%B5%AC","블로그 보기")</f>
        <v>블로그 보기</v>
      </c>
      <c r="J239" s="5"/>
      <c r="K239" s="5"/>
      <c r="L239" s="4"/>
      <c r="M239" s="7">
        <v>46149</v>
      </c>
      <c r="N239" s="8">
        <v>11</v>
      </c>
      <c r="O239" s="8">
        <v>37</v>
      </c>
      <c r="P239" s="8">
        <v>80</v>
      </c>
      <c r="Q239" s="8">
        <v>2</v>
      </c>
      <c r="R239" s="8">
        <v>1</v>
      </c>
      <c r="S239" s="4" t="s">
        <v>1023</v>
      </c>
      <c r="T239" s="9">
        <v>36.332176500000003</v>
      </c>
      <c r="U239" s="9">
        <v>127.4323866</v>
      </c>
    </row>
    <row r="240" spans="1:21" ht="32.1" customHeight="1">
      <c r="A240" s="5" t="s">
        <v>36</v>
      </c>
      <c r="B240" s="5" t="s">
        <v>10</v>
      </c>
      <c r="C240" s="4" t="s">
        <v>1024</v>
      </c>
      <c r="D240" s="4" t="s">
        <v>215</v>
      </c>
      <c r="E240" s="6">
        <v>61</v>
      </c>
      <c r="F240" s="4" t="s">
        <v>385</v>
      </c>
      <c r="G240" s="4" t="s">
        <v>1025</v>
      </c>
      <c r="H240" s="4" t="s">
        <v>1026</v>
      </c>
      <c r="I240" s="5" t="str">
        <f>HYPERLINK("https://search.naver.com/search.naver?where=blog&amp;query=%EB%82%98%EB%8F%84%EC%95%BC%EB%A7%89%EC%B0%BD%EA%B5%AC%EC%9D%B4+%EB%8F%99%EA%B5%AC","블로그 보기")</f>
        <v>블로그 보기</v>
      </c>
      <c r="J240" s="5"/>
      <c r="K240" s="5"/>
      <c r="L240" s="4"/>
      <c r="M240" s="7">
        <v>46212</v>
      </c>
      <c r="N240" s="8">
        <v>26</v>
      </c>
      <c r="O240" s="8">
        <v>94</v>
      </c>
      <c r="P240" s="8">
        <v>142</v>
      </c>
      <c r="Q240" s="8">
        <v>3</v>
      </c>
      <c r="R240" s="8">
        <v>1</v>
      </c>
      <c r="S240" s="4" t="s">
        <v>1027</v>
      </c>
      <c r="T240" s="9">
        <v>36.328151099999999</v>
      </c>
      <c r="U240" s="9">
        <v>127.4539601</v>
      </c>
    </row>
    <row r="241" spans="1:21" ht="32.1" customHeight="1">
      <c r="A241" s="5" t="s">
        <v>36</v>
      </c>
      <c r="B241" s="5" t="s">
        <v>10</v>
      </c>
      <c r="C241" s="4" t="s">
        <v>1028</v>
      </c>
      <c r="D241" s="4" t="s">
        <v>125</v>
      </c>
      <c r="E241" s="6">
        <v>61</v>
      </c>
      <c r="F241" s="4" t="s">
        <v>56</v>
      </c>
      <c r="G241" s="4" t="s">
        <v>1029</v>
      </c>
      <c r="H241" s="4" t="s">
        <v>1030</v>
      </c>
      <c r="I241" s="5" t="str">
        <f>HYPERLINK("https://search.naver.com/search.naver?where=blog&amp;query=%EB%8F%99%EB%B6%81%EC%95%84+%EB%8F%99%EA%B5%AC","블로그 보기")</f>
        <v>블로그 보기</v>
      </c>
      <c r="J241" s="5"/>
      <c r="K241" s="5"/>
      <c r="L241" s="4"/>
      <c r="M241" s="7">
        <v>46222</v>
      </c>
      <c r="N241" s="8">
        <v>100</v>
      </c>
      <c r="O241" s="8">
        <v>98</v>
      </c>
      <c r="P241" s="8">
        <v>10666</v>
      </c>
      <c r="Q241" s="8">
        <v>2</v>
      </c>
      <c r="R241" s="8">
        <v>1</v>
      </c>
      <c r="S241" s="4" t="s">
        <v>1031</v>
      </c>
      <c r="T241" s="9">
        <v>36.334801499999998</v>
      </c>
      <c r="U241" s="9">
        <v>127.4378124</v>
      </c>
    </row>
    <row r="242" spans="1:21" ht="32.1" customHeight="1">
      <c r="A242" s="5" t="s">
        <v>36</v>
      </c>
      <c r="B242" s="5" t="s">
        <v>10</v>
      </c>
      <c r="C242" s="4" t="s">
        <v>1032</v>
      </c>
      <c r="D242" s="4" t="s">
        <v>248</v>
      </c>
      <c r="E242" s="6">
        <v>61</v>
      </c>
      <c r="F242" s="4" t="s">
        <v>1033</v>
      </c>
      <c r="G242" s="4" t="s">
        <v>1034</v>
      </c>
      <c r="H242" s="4" t="s">
        <v>1035</v>
      </c>
      <c r="I242" s="5" t="str">
        <f>HYPERLINK("https://search.naver.com/search.naver?where=blog&amp;query=%EC%97%90%EC%9D%B4%EC%8A%A4%EB%B6%84%EC%8B%9D+%EB%9D%BC%EB%8F%99","블로그 보기")</f>
        <v>블로그 보기</v>
      </c>
      <c r="J242" s="5"/>
      <c r="K242" s="5"/>
      <c r="L242" s="4"/>
      <c r="M242" s="7">
        <v>46222</v>
      </c>
      <c r="N242" s="8">
        <v>60</v>
      </c>
      <c r="O242" s="8">
        <v>73</v>
      </c>
      <c r="P242" s="8">
        <v>108</v>
      </c>
      <c r="Q242" s="8">
        <v>3</v>
      </c>
      <c r="R242" s="8">
        <v>1</v>
      </c>
      <c r="S242" s="4" t="s">
        <v>1036</v>
      </c>
      <c r="T242" s="9">
        <v>36.328982400000001</v>
      </c>
      <c r="U242" s="9">
        <v>127.43075690000001</v>
      </c>
    </row>
    <row r="243" spans="1:21" ht="32.1" customHeight="1">
      <c r="A243" s="5" t="s">
        <v>36</v>
      </c>
      <c r="B243" s="5" t="s">
        <v>10</v>
      </c>
      <c r="C243" s="4" t="s">
        <v>1037</v>
      </c>
      <c r="D243" s="4" t="s">
        <v>71</v>
      </c>
      <c r="E243" s="6">
        <v>61</v>
      </c>
      <c r="F243" s="4" t="s">
        <v>56</v>
      </c>
      <c r="G243" s="4" t="s">
        <v>1038</v>
      </c>
      <c r="H243" s="4" t="s">
        <v>1039</v>
      </c>
      <c r="I243" s="5" t="str">
        <f>HYPERLINK("https://search.naver.com/search.naver?where=blog&amp;query=%EC%98%A5%EC%B2%9C%EC%8B%9D%EB%8B%B9+%EB%8F%99%EA%B5%AC","블로그 보기")</f>
        <v>블로그 보기</v>
      </c>
      <c r="J243" s="5"/>
      <c r="K243" s="5"/>
      <c r="L243" s="4"/>
      <c r="M243" s="7">
        <v>46221</v>
      </c>
      <c r="N243" s="8">
        <v>100</v>
      </c>
      <c r="O243" s="8">
        <v>77</v>
      </c>
      <c r="P243" s="8">
        <v>5668</v>
      </c>
      <c r="Q243" s="8">
        <v>2</v>
      </c>
      <c r="R243" s="8">
        <v>1</v>
      </c>
      <c r="S243" s="4" t="s">
        <v>1014</v>
      </c>
      <c r="T243" s="9">
        <v>36.329643799999999</v>
      </c>
      <c r="U243" s="9">
        <v>127.4316263</v>
      </c>
    </row>
    <row r="244" spans="1:21" ht="32.1" customHeight="1">
      <c r="A244" s="5" t="s">
        <v>36</v>
      </c>
      <c r="B244" s="5" t="s">
        <v>10</v>
      </c>
      <c r="C244" s="4" t="s">
        <v>1040</v>
      </c>
      <c r="D244" s="4" t="s">
        <v>1041</v>
      </c>
      <c r="E244" s="6">
        <v>61</v>
      </c>
      <c r="F244" s="4" t="s">
        <v>56</v>
      </c>
      <c r="G244" s="4" t="s">
        <v>1042</v>
      </c>
      <c r="H244" s="4" t="s">
        <v>1043</v>
      </c>
      <c r="I244" s="5" t="str">
        <f>HYPERLINK("https://search.naver.com/search.naver?where=blog&amp;query=%EC%9D%BC%EC%83%81+%EB%8F%99%EA%B5%AC","블로그 보기")</f>
        <v>블로그 보기</v>
      </c>
      <c r="J244" s="5"/>
      <c r="K244" s="5"/>
      <c r="L244" s="4"/>
      <c r="M244" s="7">
        <v>46223</v>
      </c>
      <c r="N244" s="8">
        <v>100</v>
      </c>
      <c r="O244" s="8">
        <v>64</v>
      </c>
      <c r="P244" s="8">
        <v>317977</v>
      </c>
      <c r="Q244" s="8">
        <v>2</v>
      </c>
      <c r="R244" s="8">
        <v>1</v>
      </c>
      <c r="S244" s="4" t="s">
        <v>972</v>
      </c>
      <c r="T244" s="9">
        <v>36.328214199999998</v>
      </c>
      <c r="U244" s="9">
        <v>127.458322</v>
      </c>
    </row>
    <row r="245" spans="1:21" ht="32.1" customHeight="1">
      <c r="A245" s="5" t="s">
        <v>36</v>
      </c>
      <c r="B245" s="5" t="s">
        <v>10</v>
      </c>
      <c r="C245" s="4" t="s">
        <v>1044</v>
      </c>
      <c r="D245" s="4" t="s">
        <v>782</v>
      </c>
      <c r="E245" s="6">
        <v>61</v>
      </c>
      <c r="F245" s="4" t="s">
        <v>45</v>
      </c>
      <c r="G245" s="4" t="s">
        <v>1045</v>
      </c>
      <c r="H245" s="4" t="s">
        <v>1046</v>
      </c>
      <c r="I245" s="5" t="str">
        <f>HYPERLINK("https://search.naver.com/search.naver?where=blog&amp;query=%ED%95%9C%EB%A7%88%EC%9D%8C%EC%A0%95%EC%9C%A1%EC%8B%9D%EB%8B%B9+%EB%8C%80%EC%A0%84%ED%8C%90%EC%95%94%EC%A0%90+%EB%8F%99%EA%B5%AC","블로그 보기")</f>
        <v>블로그 보기</v>
      </c>
      <c r="J245" s="5"/>
      <c r="K245" s="5"/>
      <c r="L245" s="4"/>
      <c r="M245" s="7">
        <v>46220</v>
      </c>
      <c r="N245" s="8">
        <v>100</v>
      </c>
      <c r="O245" s="8">
        <v>90</v>
      </c>
      <c r="P245" s="8">
        <v>658</v>
      </c>
      <c r="Q245" s="8">
        <v>2</v>
      </c>
      <c r="R245" s="8">
        <v>0</v>
      </c>
      <c r="S245" s="4" t="s">
        <v>947</v>
      </c>
      <c r="T245" s="9">
        <v>36.318134999999998</v>
      </c>
      <c r="U245" s="9">
        <v>127.4568295</v>
      </c>
    </row>
    <row r="246" spans="1:21" ht="32.1" customHeight="1">
      <c r="A246" s="5" t="s">
        <v>36</v>
      </c>
      <c r="B246" s="5" t="s">
        <v>10</v>
      </c>
      <c r="C246" s="4" t="s">
        <v>1047</v>
      </c>
      <c r="D246" s="4" t="s">
        <v>38</v>
      </c>
      <c r="E246" s="6">
        <v>61</v>
      </c>
      <c r="F246" s="4" t="s">
        <v>1048</v>
      </c>
      <c r="G246" s="4" t="s">
        <v>1049</v>
      </c>
      <c r="H246" s="4" t="s">
        <v>1050</v>
      </c>
      <c r="I246" s="5" t="str">
        <f>HYPERLINK("https://search.naver.com/search.naver?where=blog&amp;query=%ED%95%B4%EC%A0%95%EC%86%90%EC%B9%BC%EA%B5%AD%EC%88%98+%EB%8F%99%EA%B5%AC","블로그 보기")</f>
        <v>블로그 보기</v>
      </c>
      <c r="J246" s="5"/>
      <c r="K246" s="5"/>
      <c r="L246" s="4"/>
      <c r="M246" s="7">
        <v>46219</v>
      </c>
      <c r="N246" s="8">
        <v>11</v>
      </c>
      <c r="O246" s="8">
        <v>50</v>
      </c>
      <c r="P246" s="8">
        <v>53</v>
      </c>
      <c r="Q246" s="8">
        <v>2</v>
      </c>
      <c r="R246" s="8">
        <v>1</v>
      </c>
      <c r="S246" s="4" t="s">
        <v>976</v>
      </c>
      <c r="T246" s="9">
        <v>36.317937000000001</v>
      </c>
      <c r="U246" s="9">
        <v>127.462952</v>
      </c>
    </row>
    <row r="247" spans="1:21" ht="32.1" customHeight="1">
      <c r="A247" s="5" t="s">
        <v>36</v>
      </c>
      <c r="B247" s="5" t="s">
        <v>10</v>
      </c>
      <c r="C247" s="4" t="s">
        <v>1051</v>
      </c>
      <c r="D247" s="4" t="s">
        <v>306</v>
      </c>
      <c r="E247" s="6">
        <v>60</v>
      </c>
      <c r="F247" s="4" t="s">
        <v>56</v>
      </c>
      <c r="G247" s="4" t="s">
        <v>1052</v>
      </c>
      <c r="H247" s="4" t="s">
        <v>1053</v>
      </c>
      <c r="I247" s="5" t="str">
        <f>HYPERLINK("https://search.naver.com/search.naver?where=blog&amp;query=%ED%88%AC%EB%8D%B0%EC%9D%B4%EC%9C%A0%ED%86%B5+%EB%8F%99%EA%B5%AC","블로그 보기")</f>
        <v>블로그 보기</v>
      </c>
      <c r="J247" s="5"/>
      <c r="K247" s="5"/>
      <c r="L247" s="4"/>
      <c r="M247" s="7">
        <v>46219</v>
      </c>
      <c r="N247" s="8">
        <v>100</v>
      </c>
      <c r="O247" s="8">
        <v>50</v>
      </c>
      <c r="P247" s="8">
        <v>1447</v>
      </c>
      <c r="Q247" s="8">
        <v>2</v>
      </c>
      <c r="R247" s="8">
        <v>1</v>
      </c>
      <c r="S247" s="4" t="s">
        <v>972</v>
      </c>
      <c r="T247" s="9">
        <v>36.338832799999999</v>
      </c>
      <c r="U247" s="9">
        <v>127.4580126</v>
      </c>
    </row>
    <row r="248" spans="1:21" ht="32.1" customHeight="1">
      <c r="A248" s="5" t="s">
        <v>36</v>
      </c>
      <c r="B248" s="5" t="s">
        <v>10</v>
      </c>
      <c r="C248" s="4" t="s">
        <v>1054</v>
      </c>
      <c r="D248" s="4" t="s">
        <v>215</v>
      </c>
      <c r="E248" s="6">
        <v>59</v>
      </c>
      <c r="F248" s="4" t="s">
        <v>56</v>
      </c>
      <c r="G248" s="4" t="s">
        <v>1055</v>
      </c>
      <c r="H248" s="4" t="s">
        <v>1056</v>
      </c>
      <c r="I248" s="5" t="str">
        <f>HYPERLINK("https://search.naver.com/search.naver?where=blog&amp;query=%EA%B0%80%EC%96%91%EB%A7%89%EC%B0%BD+%EB%8F%99%EA%B5%AC","블로그 보기")</f>
        <v>블로그 보기</v>
      </c>
      <c r="J248" s="5"/>
      <c r="K248" s="5"/>
      <c r="L248" s="4"/>
      <c r="M248" s="7">
        <v>46223</v>
      </c>
      <c r="N248" s="8">
        <v>100</v>
      </c>
      <c r="O248" s="8">
        <v>84</v>
      </c>
      <c r="P248" s="8">
        <v>658</v>
      </c>
      <c r="Q248" s="8">
        <v>2</v>
      </c>
      <c r="R248" s="8">
        <v>1</v>
      </c>
      <c r="S248" s="4" t="s">
        <v>1057</v>
      </c>
      <c r="T248" s="9">
        <v>36.345416800000002</v>
      </c>
      <c r="U248" s="9">
        <v>127.4452075</v>
      </c>
    </row>
    <row r="249" spans="1:21" ht="32.1" customHeight="1">
      <c r="A249" s="5" t="s">
        <v>36</v>
      </c>
      <c r="B249" s="5" t="s">
        <v>10</v>
      </c>
      <c r="C249" s="4" t="s">
        <v>1058</v>
      </c>
      <c r="D249" s="4" t="s">
        <v>475</v>
      </c>
      <c r="E249" s="6">
        <v>59</v>
      </c>
      <c r="F249" s="4" t="s">
        <v>45</v>
      </c>
      <c r="G249" s="4" t="s">
        <v>1059</v>
      </c>
      <c r="H249" s="4" t="s">
        <v>1060</v>
      </c>
      <c r="I249" s="5" t="str">
        <f>HYPERLINK("https://search.naver.com/search.naver?where=blog&amp;query=%EB%8C%80%EC%A0%84%ED%95%9C%EC%9A%B0+%EB%8F%99%EA%B5%AC","블로그 보기")</f>
        <v>블로그 보기</v>
      </c>
      <c r="J249" s="5"/>
      <c r="K249" s="5"/>
      <c r="L249" s="4"/>
      <c r="M249" s="7">
        <v>46223</v>
      </c>
      <c r="N249" s="8">
        <v>100</v>
      </c>
      <c r="O249" s="8">
        <v>87</v>
      </c>
      <c r="P249" s="8">
        <v>10215</v>
      </c>
      <c r="Q249" s="8">
        <v>1</v>
      </c>
      <c r="R249" s="8">
        <v>0</v>
      </c>
      <c r="S249" s="4" t="s">
        <v>1061</v>
      </c>
      <c r="T249" s="9">
        <v>36.331612300000003</v>
      </c>
      <c r="U249" s="9">
        <v>127.4305931</v>
      </c>
    </row>
    <row r="250" spans="1:21" ht="32.1" customHeight="1">
      <c r="A250" s="5" t="s">
        <v>36</v>
      </c>
      <c r="B250" s="5" t="s">
        <v>10</v>
      </c>
      <c r="C250" s="4" t="s">
        <v>1062</v>
      </c>
      <c r="D250" s="4" t="s">
        <v>71</v>
      </c>
      <c r="E250" s="6">
        <v>59</v>
      </c>
      <c r="F250" s="4" t="s">
        <v>56</v>
      </c>
      <c r="G250" s="4" t="s">
        <v>1063</v>
      </c>
      <c r="H250" s="4" t="s">
        <v>1064</v>
      </c>
      <c r="I250" s="5" t="str">
        <f>HYPERLINK("https://search.naver.com/search.naver?where=blog&amp;query=%EB%98%90%EB%98%90%EB%84%A4+%EB%8F%99%EA%B5%AC","블로그 보기")</f>
        <v>블로그 보기</v>
      </c>
      <c r="J250" s="5"/>
      <c r="K250" s="5"/>
      <c r="L250" s="4"/>
      <c r="M250" s="7">
        <v>46222</v>
      </c>
      <c r="N250" s="8">
        <v>100</v>
      </c>
      <c r="O250" s="8">
        <v>100</v>
      </c>
      <c r="P250" s="8">
        <v>234</v>
      </c>
      <c r="Q250" s="8">
        <v>3</v>
      </c>
      <c r="R250" s="8">
        <v>0</v>
      </c>
      <c r="S250" s="4" t="s">
        <v>1065</v>
      </c>
      <c r="T250" s="9">
        <v>36.3295727</v>
      </c>
      <c r="U250" s="9">
        <v>127.4308845</v>
      </c>
    </row>
    <row r="251" spans="1:21" ht="32.1" customHeight="1">
      <c r="A251" s="5" t="s">
        <v>36</v>
      </c>
      <c r="B251" s="5" t="s">
        <v>10</v>
      </c>
      <c r="C251" s="4" t="s">
        <v>1066</v>
      </c>
      <c r="D251" s="4" t="s">
        <v>125</v>
      </c>
      <c r="E251" s="6">
        <v>59</v>
      </c>
      <c r="F251" s="4" t="s">
        <v>156</v>
      </c>
      <c r="G251" s="4" t="s">
        <v>1067</v>
      </c>
      <c r="H251" s="4" t="s">
        <v>1068</v>
      </c>
      <c r="I251" s="5" t="str">
        <f>HYPERLINK("https://search.naver.com/search.naver?where=blog&amp;query=%EB%A6%BC%EC%B6%98%26%EB%B9%84%EB%B2%94+%EA%B0%80%EB%A7%B9%EC%82%AC%EC%97%85%EB%B3%B8%EB%B6%80+%EB%8F%99%EA%B5%AC","블로그 보기")</f>
        <v>블로그 보기</v>
      </c>
      <c r="J251" s="5" t="str">
        <f>HYPERLINK("https://www.instagram.com/limchun.official","업체 보기")</f>
        <v>업체 보기</v>
      </c>
      <c r="K251" s="5"/>
      <c r="L251" s="4"/>
      <c r="M251" s="7">
        <v>46198</v>
      </c>
      <c r="N251" s="8">
        <v>9</v>
      </c>
      <c r="O251" s="8">
        <v>8</v>
      </c>
      <c r="P251" s="8">
        <v>13</v>
      </c>
      <c r="Q251" s="8">
        <v>3</v>
      </c>
      <c r="R251" s="8">
        <v>2</v>
      </c>
      <c r="S251" s="4" t="s">
        <v>1069</v>
      </c>
      <c r="T251" s="9">
        <v>36.335817200000001</v>
      </c>
      <c r="U251" s="9">
        <v>127.43692129999999</v>
      </c>
    </row>
    <row r="252" spans="1:21" ht="32.1" customHeight="1">
      <c r="A252" s="5" t="s">
        <v>36</v>
      </c>
      <c r="B252" s="5" t="s">
        <v>10</v>
      </c>
      <c r="C252" s="4" t="s">
        <v>1070</v>
      </c>
      <c r="D252" s="4" t="s">
        <v>55</v>
      </c>
      <c r="E252" s="6">
        <v>59</v>
      </c>
      <c r="F252" s="4" t="s">
        <v>56</v>
      </c>
      <c r="G252" s="4" t="s">
        <v>1071</v>
      </c>
      <c r="H252" s="4" t="s">
        <v>1072</v>
      </c>
      <c r="I252" s="5" t="str">
        <f>HYPERLINK("https://search.naver.com/search.naver?where=blog&amp;query=%EB%B6%80%EC%97%AC%EC%88%9C%EB%8C%80+%EB%8F%99%EA%B5%AC","블로그 보기")</f>
        <v>블로그 보기</v>
      </c>
      <c r="J252" s="5"/>
      <c r="K252" s="5"/>
      <c r="L252" s="4"/>
      <c r="M252" s="7">
        <v>46220</v>
      </c>
      <c r="N252" s="8">
        <v>100</v>
      </c>
      <c r="O252" s="8">
        <v>92</v>
      </c>
      <c r="P252" s="8">
        <v>728</v>
      </c>
      <c r="Q252" s="8">
        <v>2</v>
      </c>
      <c r="R252" s="8">
        <v>1</v>
      </c>
      <c r="S252" s="4" t="s">
        <v>963</v>
      </c>
      <c r="T252" s="9">
        <v>36.3177497</v>
      </c>
      <c r="U252" s="9">
        <v>127.4562279</v>
      </c>
    </row>
    <row r="253" spans="1:21" ht="32.1" customHeight="1">
      <c r="A253" s="5" t="s">
        <v>36</v>
      </c>
      <c r="B253" s="5" t="s">
        <v>10</v>
      </c>
      <c r="C253" s="4" t="s">
        <v>1073</v>
      </c>
      <c r="D253" s="4" t="s">
        <v>38</v>
      </c>
      <c r="E253" s="6">
        <v>59</v>
      </c>
      <c r="F253" s="4" t="s">
        <v>39</v>
      </c>
      <c r="G253" s="4" t="s">
        <v>1074</v>
      </c>
      <c r="H253" s="4" t="s">
        <v>1075</v>
      </c>
      <c r="I253" s="5" t="str">
        <f>HYPERLINK("https://search.naver.com/search.naver?where=blog&amp;query=%EC%8B%A0%EC%84%A0+%EC%B9%BC%EA%B5%AD%EC%88%98+%EB%8F%99%EA%B5%AC","블로그 보기")</f>
        <v>블로그 보기</v>
      </c>
      <c r="J253" s="5"/>
      <c r="K253" s="5"/>
      <c r="L253" s="4"/>
      <c r="M253" s="7">
        <v>46223</v>
      </c>
      <c r="N253" s="8">
        <v>100</v>
      </c>
      <c r="O253" s="8">
        <v>98</v>
      </c>
      <c r="P253" s="8">
        <v>16494</v>
      </c>
      <c r="Q253" s="8">
        <v>1</v>
      </c>
      <c r="R253" s="8">
        <v>0</v>
      </c>
      <c r="S253" s="4" t="s">
        <v>928</v>
      </c>
      <c r="T253" s="9">
        <v>36.330338699999999</v>
      </c>
      <c r="U253" s="9">
        <v>127.4422569</v>
      </c>
    </row>
    <row r="254" spans="1:21" ht="32.1" customHeight="1">
      <c r="A254" s="5" t="s">
        <v>36</v>
      </c>
      <c r="B254" s="5" t="s">
        <v>10</v>
      </c>
      <c r="C254" s="4" t="s">
        <v>1076</v>
      </c>
      <c r="D254" s="4" t="s">
        <v>71</v>
      </c>
      <c r="E254" s="6">
        <v>59</v>
      </c>
      <c r="F254" s="4" t="s">
        <v>1020</v>
      </c>
      <c r="G254" s="4" t="s">
        <v>1077</v>
      </c>
      <c r="H254" s="4" t="s">
        <v>1078</v>
      </c>
      <c r="I254" s="5" t="str">
        <f>HYPERLINK("https://search.naver.com/search.naver?where=blog&amp;query=%EC%96%91%EC%9D%80%EC%9D%B4%EB%84%A4+%EB%8C%80%EC%A0%84%EC%9A%A9%EC%9A%B4%EB%8F%99%EC%A0%90+%EB%8F%99%EA%B5%AC","블로그 보기")</f>
        <v>블로그 보기</v>
      </c>
      <c r="J254" s="5"/>
      <c r="K254" s="5"/>
      <c r="L254" s="4"/>
      <c r="M254" s="7">
        <v>46050</v>
      </c>
      <c r="N254" s="8">
        <v>11</v>
      </c>
      <c r="O254" s="8">
        <v>11</v>
      </c>
      <c r="P254" s="8">
        <v>11</v>
      </c>
      <c r="Q254" s="8">
        <v>2</v>
      </c>
      <c r="R254" s="8">
        <v>1</v>
      </c>
      <c r="S254" s="4" t="s">
        <v>932</v>
      </c>
      <c r="T254" s="9">
        <v>36.327997500000002</v>
      </c>
      <c r="U254" s="9">
        <v>127.46622170000001</v>
      </c>
    </row>
    <row r="255" spans="1:21" ht="32.1" customHeight="1">
      <c r="A255" s="5" t="s">
        <v>36</v>
      </c>
      <c r="B255" s="5" t="s">
        <v>10</v>
      </c>
      <c r="C255" s="4" t="s">
        <v>1079</v>
      </c>
      <c r="D255" s="4" t="s">
        <v>1080</v>
      </c>
      <c r="E255" s="6">
        <v>59</v>
      </c>
      <c r="F255" s="4" t="s">
        <v>56</v>
      </c>
      <c r="G255" s="4" t="s">
        <v>1081</v>
      </c>
      <c r="H255" s="4" t="s">
        <v>1082</v>
      </c>
      <c r="I255" s="5" t="str">
        <f>HYPERLINK("https://search.naver.com/search.naver?where=blog&amp;query=%EC%98%88%EB%8B%B4%EC%83%9D%EC%84%A0%EC%A7%81%ED%99%94%EA%B5%AC%EC%9D%B4+%EB%8F%99%EA%B5%AC","블로그 보기")</f>
        <v>블로그 보기</v>
      </c>
      <c r="J255" s="5"/>
      <c r="K255" s="5"/>
      <c r="L255" s="4"/>
      <c r="M255" s="7">
        <v>46219</v>
      </c>
      <c r="N255" s="8">
        <v>100</v>
      </c>
      <c r="O255" s="8">
        <v>98</v>
      </c>
      <c r="P255" s="8">
        <v>858</v>
      </c>
      <c r="Q255" s="8">
        <v>2</v>
      </c>
      <c r="R255" s="8">
        <v>1</v>
      </c>
      <c r="S255" s="4" t="s">
        <v>1083</v>
      </c>
      <c r="T255" s="9">
        <v>36.328325900000003</v>
      </c>
      <c r="U255" s="9">
        <v>127.4615312</v>
      </c>
    </row>
    <row r="256" spans="1:21" ht="32.1" customHeight="1">
      <c r="A256" s="5" t="s">
        <v>36</v>
      </c>
      <c r="B256" s="5" t="s">
        <v>10</v>
      </c>
      <c r="C256" s="4" t="s">
        <v>1084</v>
      </c>
      <c r="D256" s="4" t="s">
        <v>71</v>
      </c>
      <c r="E256" s="6">
        <v>59</v>
      </c>
      <c r="F256" s="4" t="s">
        <v>826</v>
      </c>
      <c r="G256" s="4" t="s">
        <v>1085</v>
      </c>
      <c r="H256" s="4" t="s">
        <v>1086</v>
      </c>
      <c r="I256" s="5" t="str">
        <f>HYPERLINK("https://search.naver.com/search.naver?where=blog&amp;query=%EC%A0%95%EB%8F%99%EB%B6%88%EA%B3%A0%EA%B8%B0+%EB%8F%99%EA%B5%AC","블로그 보기")</f>
        <v>블로그 보기</v>
      </c>
      <c r="J256" s="5" t="str">
        <f>HYPERLINK("https://www.instagram.com/jungdongbgg","업체 보기")</f>
        <v>업체 보기</v>
      </c>
      <c r="K256" s="5"/>
      <c r="L256" s="4"/>
      <c r="M256" s="7">
        <v>46221</v>
      </c>
      <c r="N256" s="8">
        <v>82</v>
      </c>
      <c r="O256" s="8">
        <v>81</v>
      </c>
      <c r="P256" s="8">
        <v>308</v>
      </c>
      <c r="Q256" s="8">
        <v>3</v>
      </c>
      <c r="R256" s="8">
        <v>0</v>
      </c>
      <c r="S256" s="4" t="s">
        <v>1087</v>
      </c>
      <c r="T256" s="9">
        <v>36.331544600000001</v>
      </c>
      <c r="U256" s="9">
        <v>127.4311178</v>
      </c>
    </row>
    <row r="257" spans="1:21" ht="32.1" customHeight="1">
      <c r="A257" s="5" t="s">
        <v>36</v>
      </c>
      <c r="B257" s="5" t="s">
        <v>10</v>
      </c>
      <c r="C257" s="4" t="s">
        <v>1088</v>
      </c>
      <c r="D257" s="4" t="s">
        <v>38</v>
      </c>
      <c r="E257" s="6">
        <v>58</v>
      </c>
      <c r="F257" s="4" t="s">
        <v>39</v>
      </c>
      <c r="G257" s="4" t="s">
        <v>1089</v>
      </c>
      <c r="H257" s="4" t="s">
        <v>1090</v>
      </c>
      <c r="I257" s="5" t="str">
        <f>HYPERLINK("https://search.naver.com/search.naver?where=blog&amp;query=%EA%B0%95%EB%A6%89%EC%B9%BC%EA%B5%AD%EC%88%98+%EB%8F%99%EA%B5%AC","블로그 보기")</f>
        <v>블로그 보기</v>
      </c>
      <c r="J257" s="5"/>
      <c r="K257" s="5"/>
      <c r="L257" s="4"/>
      <c r="M257" s="7">
        <v>46223</v>
      </c>
      <c r="N257" s="8">
        <v>100</v>
      </c>
      <c r="O257" s="8">
        <v>99</v>
      </c>
      <c r="P257" s="8">
        <v>1656</v>
      </c>
      <c r="Q257" s="8">
        <v>1</v>
      </c>
      <c r="R257" s="8">
        <v>0</v>
      </c>
      <c r="S257" s="4" t="s">
        <v>928</v>
      </c>
      <c r="T257" s="9">
        <v>36.3409306</v>
      </c>
      <c r="U257" s="9">
        <v>127.4491869</v>
      </c>
    </row>
    <row r="258" spans="1:21" ht="32.1" customHeight="1">
      <c r="A258" s="5" t="s">
        <v>36</v>
      </c>
      <c r="B258" s="5" t="s">
        <v>10</v>
      </c>
      <c r="C258" s="4" t="s">
        <v>1091</v>
      </c>
      <c r="D258" s="4" t="s">
        <v>44</v>
      </c>
      <c r="E258" s="6">
        <v>58</v>
      </c>
      <c r="F258" s="4" t="s">
        <v>97</v>
      </c>
      <c r="G258" s="4" t="s">
        <v>1092</v>
      </c>
      <c r="H258" s="4" t="s">
        <v>1093</v>
      </c>
      <c r="I258" s="5" t="str">
        <f>HYPERLINK("https://search.naver.com/search.naver?where=blog&amp;query=%EC%A7%84%EC%A3%BC%EB%83%89%EB%A9%B4+%EB%B3%B8%EC%A0%90+%EC%84%B1%EB%82%A8%EC%A0%90+%EB%8F%99%EA%B5%AC","블로그 보기")</f>
        <v>블로그 보기</v>
      </c>
      <c r="J258" s="5"/>
      <c r="K258" s="5"/>
      <c r="L258" s="4"/>
      <c r="M258" s="7">
        <v>46220</v>
      </c>
      <c r="N258" s="8">
        <v>100</v>
      </c>
      <c r="O258" s="8">
        <v>95</v>
      </c>
      <c r="P258" s="8">
        <v>1038</v>
      </c>
      <c r="Q258" s="8">
        <v>1</v>
      </c>
      <c r="R258" s="8">
        <v>0</v>
      </c>
      <c r="S258" s="4" t="s">
        <v>1094</v>
      </c>
      <c r="T258" s="9">
        <v>36.339981700000003</v>
      </c>
      <c r="U258" s="9">
        <v>127.43516030000001</v>
      </c>
    </row>
    <row r="259" spans="1:21" ht="32.1" customHeight="1">
      <c r="A259" s="5" t="s">
        <v>36</v>
      </c>
      <c r="B259" s="5" t="s">
        <v>10</v>
      </c>
      <c r="C259" s="4" t="s">
        <v>1095</v>
      </c>
      <c r="D259" s="4" t="s">
        <v>210</v>
      </c>
      <c r="E259" s="6">
        <v>57</v>
      </c>
      <c r="F259" s="4" t="s">
        <v>297</v>
      </c>
      <c r="G259" s="4" t="s">
        <v>1001</v>
      </c>
      <c r="H259" s="4" t="s">
        <v>1002</v>
      </c>
      <c r="I259" s="5" t="str">
        <f>HYPERLINK("https://search.naver.com/search.naver?where=blog&amp;query=%EA%B0%95%EC%B2%AD%EA%B3%A8%EC%88%9C%EB%8C%80%EA%B5%AD%EB%B0%A5+%ED%8C%90%EC%95%94%EC%A0%90+%EB%8F%99%EA%B5%AC","블로그 보기")</f>
        <v>블로그 보기</v>
      </c>
      <c r="J259" s="5"/>
      <c r="K259" s="5"/>
      <c r="L259" s="4"/>
      <c r="M259" s="7">
        <v>46219</v>
      </c>
      <c r="N259" s="8">
        <v>28</v>
      </c>
      <c r="O259" s="8">
        <v>91</v>
      </c>
      <c r="P259" s="8">
        <v>169</v>
      </c>
      <c r="Q259" s="8">
        <v>2</v>
      </c>
      <c r="R259" s="8">
        <v>1</v>
      </c>
      <c r="S259" s="4" t="s">
        <v>963</v>
      </c>
      <c r="T259" s="9">
        <v>36.317971900000003</v>
      </c>
      <c r="U259" s="9">
        <v>127.4607716</v>
      </c>
    </row>
    <row r="260" spans="1:21" ht="32.1" customHeight="1">
      <c r="A260" s="5" t="s">
        <v>36</v>
      </c>
      <c r="B260" s="5" t="s">
        <v>10</v>
      </c>
      <c r="C260" s="4" t="s">
        <v>1096</v>
      </c>
      <c r="D260" s="4" t="s">
        <v>65</v>
      </c>
      <c r="E260" s="6">
        <v>57</v>
      </c>
      <c r="F260" s="4" t="s">
        <v>1097</v>
      </c>
      <c r="G260" s="4" t="s">
        <v>1098</v>
      </c>
      <c r="H260" s="4" t="s">
        <v>1099</v>
      </c>
      <c r="I260" s="5" t="str">
        <f>HYPERLINK("https://search.naver.com/search.naver?where=blog&amp;query=%EA%B3%B0%EC%88%98%EC%82%B0+%ED%8C%90%EC%95%94+%EB%B3%B8%EC%A0%90+%EB%8F%99%EA%B5%AC","블로그 보기")</f>
        <v>블로그 보기</v>
      </c>
      <c r="J260" s="5"/>
      <c r="K260" s="5"/>
      <c r="L260" s="4"/>
      <c r="M260" s="7">
        <v>46201</v>
      </c>
      <c r="N260" s="8">
        <v>31</v>
      </c>
      <c r="O260" s="8">
        <v>42</v>
      </c>
      <c r="P260" s="8">
        <v>69</v>
      </c>
      <c r="Q260" s="8">
        <v>1</v>
      </c>
      <c r="R260" s="8">
        <v>1</v>
      </c>
      <c r="S260" s="4" t="s">
        <v>1100</v>
      </c>
      <c r="T260" s="9">
        <v>36.318020099999998</v>
      </c>
      <c r="U260" s="9">
        <v>127.4621789</v>
      </c>
    </row>
    <row r="261" spans="1:21" ht="32.1" customHeight="1">
      <c r="A261" s="5" t="s">
        <v>36</v>
      </c>
      <c r="B261" s="5" t="s">
        <v>10</v>
      </c>
      <c r="C261" s="4" t="s">
        <v>1101</v>
      </c>
      <c r="D261" s="4" t="s">
        <v>248</v>
      </c>
      <c r="E261" s="6">
        <v>57</v>
      </c>
      <c r="F261" s="4" t="s">
        <v>56</v>
      </c>
      <c r="G261" s="4" t="s">
        <v>1102</v>
      </c>
      <c r="H261" s="4" t="s">
        <v>1103</v>
      </c>
      <c r="I261" s="5" t="str">
        <f>HYPERLINK("https://search.naver.com/search.naver?where=blog&amp;query=%EA%B9%80%EB%B0%A5%EC%82%AC%EB%9E%91+%EB%8F%99%EA%B5%AC","블로그 보기")</f>
        <v>블로그 보기</v>
      </c>
      <c r="J261" s="5"/>
      <c r="K261" s="5"/>
      <c r="L261" s="4"/>
      <c r="M261" s="7">
        <v>46223</v>
      </c>
      <c r="N261" s="8">
        <v>100</v>
      </c>
      <c r="O261" s="8">
        <v>92</v>
      </c>
      <c r="P261" s="8">
        <v>9140</v>
      </c>
      <c r="Q261" s="8">
        <v>1</v>
      </c>
      <c r="R261" s="8">
        <v>1</v>
      </c>
      <c r="S261" s="4" t="s">
        <v>1104</v>
      </c>
      <c r="T261" s="9">
        <v>36.327458700000001</v>
      </c>
      <c r="U261" s="9">
        <v>127.46184390000001</v>
      </c>
    </row>
    <row r="262" spans="1:21" ht="32.1" customHeight="1">
      <c r="A262" s="5" t="s">
        <v>36</v>
      </c>
      <c r="B262" s="5" t="s">
        <v>10</v>
      </c>
      <c r="C262" s="4" t="s">
        <v>1105</v>
      </c>
      <c r="D262" s="4" t="s">
        <v>119</v>
      </c>
      <c r="E262" s="6">
        <v>57</v>
      </c>
      <c r="F262" s="4" t="s">
        <v>1106</v>
      </c>
      <c r="G262" s="4" t="s">
        <v>1107</v>
      </c>
      <c r="H262" s="4" t="s">
        <v>1108</v>
      </c>
      <c r="I262" s="5" t="str">
        <f>HYPERLINK("https://search.naver.com/search.naver?where=blog&amp;query=%EC%82%B0%EB%82%B4%EC%9D%8C+%EB%8F%99%EA%B5%AC","블로그 보기")</f>
        <v>블로그 보기</v>
      </c>
      <c r="J262" s="5"/>
      <c r="K262" s="5"/>
      <c r="L262" s="4"/>
      <c r="M262" s="7">
        <v>46198</v>
      </c>
      <c r="N262" s="8">
        <v>11</v>
      </c>
      <c r="O262" s="8">
        <v>96</v>
      </c>
      <c r="P262" s="8">
        <v>182</v>
      </c>
      <c r="Q262" s="8">
        <v>2</v>
      </c>
      <c r="R262" s="8">
        <v>1</v>
      </c>
      <c r="S262" s="4" t="s">
        <v>1109</v>
      </c>
      <c r="T262" s="9">
        <v>36.328974600000002</v>
      </c>
      <c r="U262" s="9">
        <v>127.4543413</v>
      </c>
    </row>
    <row r="263" spans="1:21" ht="32.1" customHeight="1">
      <c r="A263" s="5" t="s">
        <v>36</v>
      </c>
      <c r="B263" s="5" t="s">
        <v>10</v>
      </c>
      <c r="C263" s="4" t="s">
        <v>1110</v>
      </c>
      <c r="D263" s="4" t="s">
        <v>38</v>
      </c>
      <c r="E263" s="6">
        <v>57</v>
      </c>
      <c r="F263" s="4" t="s">
        <v>244</v>
      </c>
      <c r="G263" s="4" t="s">
        <v>1111</v>
      </c>
      <c r="H263" s="4" t="s">
        <v>1112</v>
      </c>
      <c r="I263" s="5" t="str">
        <f>HYPERLINK("https://search.naver.com/search.naver?where=blog&amp;query=%EC%8B%9C%EA%B3%A8%EC%86%90%EC%B9%BC%EA%B5%AD%EC%88%98+%EB%8F%99%EA%B5%AC","블로그 보기")</f>
        <v>블로그 보기</v>
      </c>
      <c r="J263" s="5"/>
      <c r="K263" s="5"/>
      <c r="L263" s="4"/>
      <c r="M263" s="7">
        <v>46168</v>
      </c>
      <c r="N263" s="8">
        <v>8</v>
      </c>
      <c r="O263" s="8">
        <v>55</v>
      </c>
      <c r="P263" s="8">
        <v>61</v>
      </c>
      <c r="Q263" s="8">
        <v>1</v>
      </c>
      <c r="R263" s="8">
        <v>1</v>
      </c>
      <c r="S263" s="4" t="s">
        <v>976</v>
      </c>
      <c r="T263" s="9">
        <v>36.322031600000003</v>
      </c>
      <c r="U263" s="9">
        <v>127.4619072</v>
      </c>
    </row>
    <row r="264" spans="1:21" ht="32.1" customHeight="1">
      <c r="A264" s="5" t="s">
        <v>36</v>
      </c>
      <c r="B264" s="5" t="s">
        <v>10</v>
      </c>
      <c r="C264" s="4" t="s">
        <v>1113</v>
      </c>
      <c r="D264" s="4" t="s">
        <v>71</v>
      </c>
      <c r="E264" s="6">
        <v>56</v>
      </c>
      <c r="F264" s="4" t="s">
        <v>56</v>
      </c>
      <c r="G264" s="4" t="s">
        <v>1114</v>
      </c>
      <c r="H264" s="4" t="s">
        <v>1115</v>
      </c>
      <c r="I264" s="5" t="str">
        <f>HYPERLINK("https://search.naver.com/search.naver?where=blog&amp;query=%EA%B0%91%EB%B6%80%EB%B3%B8%EA%B0%80+%EB%8F%BC%EC%A7%80%EA%B0%88%EB%B9%84+%EB%8F%99%EA%B5%AC","블로그 보기")</f>
        <v>블로그 보기</v>
      </c>
      <c r="J264" s="5"/>
      <c r="K264" s="5"/>
      <c r="L264" s="4"/>
      <c r="M264" s="7">
        <v>46223</v>
      </c>
      <c r="N264" s="8">
        <v>100</v>
      </c>
      <c r="O264" s="8">
        <v>78</v>
      </c>
      <c r="P264" s="8">
        <v>2115</v>
      </c>
      <c r="Q264" s="8">
        <v>1</v>
      </c>
      <c r="R264" s="8">
        <v>1</v>
      </c>
      <c r="S264" s="4" t="s">
        <v>1094</v>
      </c>
      <c r="T264" s="9">
        <v>36.345754599999999</v>
      </c>
      <c r="U264" s="9">
        <v>127.4304228</v>
      </c>
    </row>
    <row r="265" spans="1:21" ht="32.1" hidden="1" customHeight="1">
      <c r="A265" s="5" t="s">
        <v>1857</v>
      </c>
      <c r="B265" s="5" t="s">
        <v>10</v>
      </c>
      <c r="C265" s="4" t="s">
        <v>1116</v>
      </c>
      <c r="D265" s="4" t="s">
        <v>530</v>
      </c>
      <c r="E265" s="6">
        <v>56</v>
      </c>
      <c r="F265" s="4" t="s">
        <v>1117</v>
      </c>
      <c r="G265" s="4" t="s">
        <v>1118</v>
      </c>
      <c r="H265" s="4" t="s">
        <v>1119</v>
      </c>
      <c r="I265" s="5" t="str">
        <f>HYPERLINK("https://search.naver.com/search.naver?where=blog&amp;query=%EB%B3%B8+%EC%A3%BD%26%EB%B9%84%EB%B9%94%EB%B0%A5+%EB%8C%80%EC%A0%84%EC%9A%A9%EC%9A%B4%EC%A0%90+%EB%8F%99%EA%B5%AC","블로그 보기")</f>
        <v>블로그 보기</v>
      </c>
      <c r="J265" s="5" t="str">
        <f>HYPERLINK("https://www.bonif.co.kr/menu/list?brdCd=BF102","업체 보기")</f>
        <v>업체 보기</v>
      </c>
      <c r="K265" s="5"/>
      <c r="L265" s="4"/>
      <c r="M265" s="7">
        <v>46216</v>
      </c>
      <c r="N265" s="8">
        <v>63</v>
      </c>
      <c r="O265" s="8">
        <v>76</v>
      </c>
      <c r="P265" s="8">
        <v>273</v>
      </c>
      <c r="Q265" s="8">
        <v>1</v>
      </c>
      <c r="R265" s="8">
        <v>0</v>
      </c>
      <c r="S265" s="4" t="s">
        <v>932</v>
      </c>
      <c r="T265" s="9">
        <v>36.328172899999998</v>
      </c>
      <c r="U265" s="9">
        <v>127.4548152</v>
      </c>
    </row>
    <row r="266" spans="1:21" ht="32.1" hidden="1" customHeight="1">
      <c r="A266" s="5" t="s">
        <v>1857</v>
      </c>
      <c r="B266" s="5" t="s">
        <v>10</v>
      </c>
      <c r="C266" s="4" t="s">
        <v>1120</v>
      </c>
      <c r="D266" s="4" t="s">
        <v>530</v>
      </c>
      <c r="E266" s="6">
        <v>56</v>
      </c>
      <c r="F266" s="4" t="s">
        <v>1121</v>
      </c>
      <c r="G266" s="4" t="s">
        <v>1122</v>
      </c>
      <c r="H266" s="4" t="s">
        <v>1123</v>
      </c>
      <c r="I266" s="5" t="str">
        <f>HYPERLINK("https://search.naver.com/search.naver?where=blog&amp;query=%EB%B3%B8+%EC%A3%BD%26%EB%B9%84%EB%B9%94%EB%B0%A5+%EB%8C%80%EC%A0%84%ED%8C%90%EC%95%94%EC%A0%90+%EB%8F%99%EA%B5%AC","블로그 보기")</f>
        <v>블로그 보기</v>
      </c>
      <c r="J266" s="5" t="str">
        <f>HYPERLINK("https://www.bonif.co.kr/menu/list?brdCd=BF102","업체 보기")</f>
        <v>업체 보기</v>
      </c>
      <c r="K266" s="5"/>
      <c r="L266" s="4"/>
      <c r="M266" s="7">
        <v>46193</v>
      </c>
      <c r="N266" s="8">
        <v>58</v>
      </c>
      <c r="O266" s="8">
        <v>72</v>
      </c>
      <c r="P266" s="8">
        <v>282</v>
      </c>
      <c r="Q266" s="8">
        <v>1</v>
      </c>
      <c r="R266" s="8">
        <v>0</v>
      </c>
      <c r="S266" s="4" t="s">
        <v>976</v>
      </c>
      <c r="T266" s="9">
        <v>36.316821599999997</v>
      </c>
      <c r="U266" s="9">
        <v>127.4590917</v>
      </c>
    </row>
    <row r="267" spans="1:21" ht="32.1" customHeight="1">
      <c r="A267" s="5" t="s">
        <v>36</v>
      </c>
      <c r="B267" s="5" t="s">
        <v>10</v>
      </c>
      <c r="C267" s="4" t="s">
        <v>1124</v>
      </c>
      <c r="D267" s="4" t="s">
        <v>1125</v>
      </c>
      <c r="E267" s="6">
        <v>55</v>
      </c>
      <c r="F267" s="4" t="s">
        <v>1126</v>
      </c>
      <c r="G267" s="4" t="s">
        <v>1127</v>
      </c>
      <c r="H267" s="4" t="s">
        <v>1128</v>
      </c>
      <c r="I267" s="5" t="str">
        <f>HYPERLINK("https://search.naver.com/search.naver?where=blog&amp;query=%EA%B5%AD%EB%B0%A5+%EC%B0%B8+%EB%A7%9B%EC%9E%88%EB%8A%94+%EC%A7%91+%EB%8C%80%EC%A0%84%EB%8C%80%EB%8F%99%EC%A0%90+%EB%8F%99%EA%B5%AC","블로그 보기")</f>
        <v>블로그 보기</v>
      </c>
      <c r="J267" s="5" t="str">
        <f>HYPERLINK("https://www.gukcham.com/","업체 보기")</f>
        <v>업체 보기</v>
      </c>
      <c r="K267" s="5"/>
      <c r="L267" s="4"/>
      <c r="M267" s="7">
        <v>46209</v>
      </c>
      <c r="N267" s="8">
        <v>33</v>
      </c>
      <c r="O267" s="8">
        <v>88</v>
      </c>
      <c r="P267" s="8">
        <v>118</v>
      </c>
      <c r="Q267" s="8">
        <v>1</v>
      </c>
      <c r="R267" s="8">
        <v>0</v>
      </c>
      <c r="S267" s="4" t="s">
        <v>1109</v>
      </c>
      <c r="T267" s="9">
        <v>36.330340999999997</v>
      </c>
      <c r="U267" s="9">
        <v>127.443721</v>
      </c>
    </row>
    <row r="268" spans="1:21" ht="32.1" customHeight="1">
      <c r="A268" s="5" t="s">
        <v>36</v>
      </c>
      <c r="B268" s="5" t="s">
        <v>10</v>
      </c>
      <c r="C268" s="4" t="s">
        <v>1129</v>
      </c>
      <c r="D268" s="4" t="s">
        <v>248</v>
      </c>
      <c r="E268" s="6">
        <v>55</v>
      </c>
      <c r="F268" s="4" t="s">
        <v>56</v>
      </c>
      <c r="G268" s="4" t="s">
        <v>1130</v>
      </c>
      <c r="H268" s="4" t="s">
        <v>1131</v>
      </c>
      <c r="I268" s="5" t="str">
        <f>HYPERLINK("https://search.naver.com/search.naver?where=blog&amp;query=%EC%88%98%EC%97%B0%EB%B6%84%EC%8B%9D+%EB%8F%99%EA%B5%AC","블로그 보기")</f>
        <v>블로그 보기</v>
      </c>
      <c r="J268" s="5"/>
      <c r="K268" s="5"/>
      <c r="L268" s="4"/>
      <c r="M268" s="7">
        <v>46223</v>
      </c>
      <c r="N268" s="8">
        <v>100</v>
      </c>
      <c r="O268" s="8">
        <v>97</v>
      </c>
      <c r="P268" s="8">
        <v>304</v>
      </c>
      <c r="Q268" s="8">
        <v>2</v>
      </c>
      <c r="R268" s="8">
        <v>0</v>
      </c>
      <c r="S268" s="4" t="s">
        <v>1036</v>
      </c>
      <c r="T268" s="9">
        <v>36.328801200000001</v>
      </c>
      <c r="U268" s="9">
        <v>127.4308408</v>
      </c>
    </row>
    <row r="269" spans="1:21" ht="32.1" customHeight="1">
      <c r="A269" s="5" t="s">
        <v>36</v>
      </c>
      <c r="B269" s="5" t="s">
        <v>10</v>
      </c>
      <c r="C269" s="4" t="s">
        <v>1132</v>
      </c>
      <c r="D269" s="4" t="s">
        <v>965</v>
      </c>
      <c r="E269" s="6">
        <v>55</v>
      </c>
      <c r="F269" s="4" t="s">
        <v>56</v>
      </c>
      <c r="G269" s="4" t="s">
        <v>1133</v>
      </c>
      <c r="H269" s="4" t="s">
        <v>1134</v>
      </c>
      <c r="I269" s="5" t="str">
        <f>HYPERLINK("https://search.naver.com/search.naver?where=blog&amp;query=%EC%B9%B4%EB%A0%88%EC%95%BD%EB%B0%A9+%EB%8F%99%EA%B5%AC","블로그 보기")</f>
        <v>블로그 보기</v>
      </c>
      <c r="J269" s="5" t="str">
        <f>HYPERLINK("https://blog.naver.com/curry_yakbang","업체 보기")</f>
        <v>업체 보기</v>
      </c>
      <c r="K269" s="5"/>
      <c r="L269" s="4"/>
      <c r="M269" s="7">
        <v>46222</v>
      </c>
      <c r="N269" s="8">
        <v>100</v>
      </c>
      <c r="O269" s="8">
        <v>98</v>
      </c>
      <c r="P269" s="8">
        <v>264</v>
      </c>
      <c r="Q269" s="8">
        <v>2</v>
      </c>
      <c r="R269" s="8">
        <v>0</v>
      </c>
      <c r="S269" s="4" t="s">
        <v>1135</v>
      </c>
      <c r="T269" s="9">
        <v>36.332182500000002</v>
      </c>
      <c r="U269" s="9">
        <v>127.43092729999999</v>
      </c>
    </row>
    <row r="270" spans="1:21" ht="32.1" customHeight="1">
      <c r="A270" s="5" t="s">
        <v>36</v>
      </c>
      <c r="B270" s="5" t="s">
        <v>10</v>
      </c>
      <c r="C270" s="4" t="s">
        <v>1136</v>
      </c>
      <c r="D270" s="4" t="s">
        <v>71</v>
      </c>
      <c r="E270" s="6">
        <v>55</v>
      </c>
      <c r="F270" s="4" t="s">
        <v>1137</v>
      </c>
      <c r="G270" s="4" t="s">
        <v>1138</v>
      </c>
      <c r="H270" s="4" t="s">
        <v>1139</v>
      </c>
      <c r="I270" s="5" t="str">
        <f>HYPERLINK("https://search.naver.com/search.naver?where=blog&amp;query=%ED%8C%90%EC%95%94%ED%9A%8C%EA%B4%80+%EB%8F%99%EA%B5%AC","블로그 보기")</f>
        <v>블로그 보기</v>
      </c>
      <c r="J270" s="5"/>
      <c r="K270" s="5"/>
      <c r="L270" s="4"/>
      <c r="M270" s="7">
        <v>46223</v>
      </c>
      <c r="N270" s="8">
        <v>87</v>
      </c>
      <c r="O270" s="8">
        <v>91</v>
      </c>
      <c r="P270" s="8">
        <v>790</v>
      </c>
      <c r="Q270" s="8">
        <v>1</v>
      </c>
      <c r="R270" s="8">
        <v>1</v>
      </c>
      <c r="S270" s="4" t="s">
        <v>976</v>
      </c>
      <c r="T270" s="9">
        <v>36.316664400000001</v>
      </c>
      <c r="U270" s="9">
        <v>127.4556326</v>
      </c>
    </row>
    <row r="271" spans="1:21" ht="32.1" customHeight="1">
      <c r="A271" s="5" t="s">
        <v>36</v>
      </c>
      <c r="B271" s="5" t="s">
        <v>10</v>
      </c>
      <c r="C271" s="4" t="s">
        <v>1140</v>
      </c>
      <c r="D271" s="4" t="s">
        <v>1141</v>
      </c>
      <c r="E271" s="6">
        <v>54</v>
      </c>
      <c r="F271" s="4" t="s">
        <v>1142</v>
      </c>
      <c r="G271" s="4" t="s">
        <v>1143</v>
      </c>
      <c r="H271" s="4" t="s">
        <v>1144</v>
      </c>
      <c r="I271" s="5" t="str">
        <f>HYPERLINK("https://search.naver.com/search.naver?where=blog&amp;query=%EB%8F%85%EB%8F%84%ED%95%B4%EB%AC%BC%EC%95%8C%EC%B0%9C+%EB%8C%80%EC%A0%84%EC%9A%A9%EC%9A%B4%EC%A0%90+%EB%8F%99%EA%B5%AC","블로그 보기")</f>
        <v>블로그 보기</v>
      </c>
      <c r="J271" s="5"/>
      <c r="K271" s="5"/>
      <c r="L271" s="4"/>
      <c r="M271" s="7">
        <v>46111</v>
      </c>
      <c r="N271" s="8">
        <v>17</v>
      </c>
      <c r="O271" s="8">
        <v>54</v>
      </c>
      <c r="P271" s="8">
        <v>59</v>
      </c>
      <c r="Q271" s="8">
        <v>1</v>
      </c>
      <c r="R271" s="8">
        <v>0</v>
      </c>
      <c r="S271" s="4" t="s">
        <v>1083</v>
      </c>
      <c r="T271" s="9">
        <v>36.3265484</v>
      </c>
      <c r="U271" s="9">
        <v>127.461524</v>
      </c>
    </row>
    <row r="272" spans="1:21" ht="32.1" customHeight="1">
      <c r="A272" s="5" t="s">
        <v>36</v>
      </c>
      <c r="B272" s="5" t="s">
        <v>10</v>
      </c>
      <c r="C272" s="4" t="s">
        <v>1145</v>
      </c>
      <c r="D272" s="4" t="s">
        <v>1141</v>
      </c>
      <c r="E272" s="6">
        <v>54</v>
      </c>
      <c r="F272" s="4" t="s">
        <v>56</v>
      </c>
      <c r="G272" s="4" t="s">
        <v>1146</v>
      </c>
      <c r="H272" s="4" t="s">
        <v>1147</v>
      </c>
      <c r="I272" s="5" t="str">
        <f>HYPERLINK("https://search.naver.com/search.naver?where=blog&amp;query=%EB%8F%99%ED%95%B4%EC%95%84%EA%B5%AC%EC%B0%9C%ED%83%95+%EB%8F%99%EA%B5%AC","블로그 보기")</f>
        <v>블로그 보기</v>
      </c>
      <c r="J272" s="5"/>
      <c r="K272" s="5"/>
      <c r="L272" s="4"/>
      <c r="M272" s="7">
        <v>46223</v>
      </c>
      <c r="N272" s="8">
        <v>100</v>
      </c>
      <c r="O272" s="8">
        <v>99</v>
      </c>
      <c r="P272" s="8">
        <v>4615</v>
      </c>
      <c r="Q272" s="8">
        <v>1</v>
      </c>
      <c r="R272" s="8">
        <v>0</v>
      </c>
      <c r="S272" s="4" t="s">
        <v>1148</v>
      </c>
      <c r="T272" s="9">
        <v>36.331126500000003</v>
      </c>
      <c r="U272" s="9">
        <v>127.4298094</v>
      </c>
    </row>
    <row r="273" spans="1:21" ht="32.1" hidden="1" customHeight="1">
      <c r="A273" s="5" t="s">
        <v>1857</v>
      </c>
      <c r="B273" s="5" t="s">
        <v>10</v>
      </c>
      <c r="C273" s="4" t="s">
        <v>1149</v>
      </c>
      <c r="D273" s="4" t="s">
        <v>306</v>
      </c>
      <c r="E273" s="6">
        <v>54</v>
      </c>
      <c r="F273" s="4" t="s">
        <v>1150</v>
      </c>
      <c r="G273" s="4" t="s">
        <v>1151</v>
      </c>
      <c r="H273" s="4" t="s">
        <v>1152</v>
      </c>
      <c r="I273" s="5" t="str">
        <f>HYPERLINK("https://search.naver.com/search.naver?where=blog&amp;query=%EB%AF%B8%EC%86%8C%EC%95%BC+%EB%8C%80%EC%A0%84%EC%97%AD%EC%A0%90+%EB%8F%99%EA%B5%AC","블로그 보기")</f>
        <v>블로그 보기</v>
      </c>
      <c r="J273" s="5" t="str">
        <f>HYPERLINK("https://blog.naver.com/misoya-official","업체 보기")</f>
        <v>업체 보기</v>
      </c>
      <c r="K273" s="5"/>
      <c r="L273" s="4"/>
      <c r="M273" s="7">
        <v>46220</v>
      </c>
      <c r="N273" s="8">
        <v>32</v>
      </c>
      <c r="O273" s="8">
        <v>16</v>
      </c>
      <c r="P273" s="8">
        <v>51</v>
      </c>
      <c r="Q273" s="8">
        <v>1</v>
      </c>
      <c r="R273" s="8">
        <v>0</v>
      </c>
      <c r="S273" s="4" t="s">
        <v>1153</v>
      </c>
      <c r="T273" s="9">
        <v>36.331908599999998</v>
      </c>
      <c r="U273" s="9">
        <v>127.4320884</v>
      </c>
    </row>
    <row r="274" spans="1:21" ht="32.1" hidden="1" customHeight="1">
      <c r="A274" s="5" t="s">
        <v>1857</v>
      </c>
      <c r="B274" s="5" t="s">
        <v>10</v>
      </c>
      <c r="C274" s="4" t="s">
        <v>1154</v>
      </c>
      <c r="D274" s="4" t="s">
        <v>1155</v>
      </c>
      <c r="E274" s="6">
        <v>54</v>
      </c>
      <c r="F274" s="4" t="s">
        <v>1156</v>
      </c>
      <c r="G274" s="4" t="s">
        <v>1157</v>
      </c>
      <c r="H274" s="4" t="s">
        <v>1158</v>
      </c>
      <c r="I274" s="5" t="str">
        <f>HYPERLINK("https://search.naver.com/search.naver?where=blog&amp;query=%EC%9A%A9%EC%9A%B4%EC%B6%95%EC%82%B0%EB%AC%BC%EB%8F%84%EB%A7%A4%EC%84%BC%ED%83%80+%EB%8F%99%EA%B5%AC","블로그 보기")</f>
        <v>블로그 보기</v>
      </c>
      <c r="J274" s="5" t="str">
        <f>HYPERLINK("https://smartstore.naver.com/dj-yongwoon","업체 보기")</f>
        <v>업체 보기</v>
      </c>
      <c r="K274" s="5"/>
      <c r="L274" s="4"/>
      <c r="M274" s="7">
        <v>46213</v>
      </c>
      <c r="N274" s="8">
        <v>55</v>
      </c>
      <c r="O274" s="8">
        <v>52</v>
      </c>
      <c r="P274" s="8">
        <v>300</v>
      </c>
      <c r="Q274" s="8">
        <v>1</v>
      </c>
      <c r="R274" s="8">
        <v>1</v>
      </c>
      <c r="S274" s="4" t="s">
        <v>998</v>
      </c>
      <c r="T274" s="9">
        <v>36.327486200000003</v>
      </c>
      <c r="U274" s="9">
        <v>127.46160020000001</v>
      </c>
    </row>
    <row r="275" spans="1:21" ht="32.1" customHeight="1">
      <c r="A275" s="5" t="s">
        <v>36</v>
      </c>
      <c r="B275" s="5" t="s">
        <v>10</v>
      </c>
      <c r="C275" s="4" t="s">
        <v>1159</v>
      </c>
      <c r="D275" s="4" t="s">
        <v>55</v>
      </c>
      <c r="E275" s="6">
        <v>53</v>
      </c>
      <c r="F275" s="4" t="s">
        <v>290</v>
      </c>
      <c r="G275" s="4" t="s">
        <v>1160</v>
      </c>
      <c r="H275" s="4"/>
      <c r="I275" s="5" t="str">
        <f>HYPERLINK("https://search.naver.com/search.naver?where=blog&amp;query=%EC%83%9D%EC%9D%BC%EC%A7%91+%EC%A4%91%EB%8F%99","블로그 보기")</f>
        <v>블로그 보기</v>
      </c>
      <c r="J275" s="5" t="str">
        <f>HYPERLINK("http://www.생일집.com/","업체 보기")</f>
        <v>업체 보기</v>
      </c>
      <c r="K275" s="5"/>
      <c r="L275" s="4"/>
      <c r="M275" s="7">
        <v>46168</v>
      </c>
      <c r="N275" s="8">
        <v>12</v>
      </c>
      <c r="O275" s="8">
        <v>55</v>
      </c>
      <c r="P275" s="8">
        <v>62</v>
      </c>
      <c r="Q275" s="8">
        <v>2</v>
      </c>
      <c r="R275" s="8">
        <v>0</v>
      </c>
      <c r="S275" s="4" t="s">
        <v>1161</v>
      </c>
      <c r="T275" s="9">
        <v>36.329267100000003</v>
      </c>
      <c r="U275" s="9">
        <v>127.43084399999999</v>
      </c>
    </row>
    <row r="276" spans="1:21" ht="32.1" customHeight="1">
      <c r="A276" s="5" t="s">
        <v>36</v>
      </c>
      <c r="B276" s="5" t="s">
        <v>10</v>
      </c>
      <c r="C276" s="4" t="s">
        <v>1162</v>
      </c>
      <c r="D276" s="4" t="s">
        <v>96</v>
      </c>
      <c r="E276" s="6">
        <v>53</v>
      </c>
      <c r="F276" s="4" t="s">
        <v>1163</v>
      </c>
      <c r="G276" s="4" t="s">
        <v>1164</v>
      </c>
      <c r="H276" s="4" t="s">
        <v>1165</v>
      </c>
      <c r="I276" s="5" t="str">
        <f>HYPERLINK("https://search.naver.com/search.naver?where=blog&amp;query=%EC%84%9D%EC%A0%95%EB%BC%88%EB%8C%80%EA%B0%80+%EB%8F%99%EA%B5%AC","블로그 보기")</f>
        <v>블로그 보기</v>
      </c>
      <c r="J276" s="5"/>
      <c r="K276" s="5"/>
      <c r="L276" s="4"/>
      <c r="M276" s="7">
        <v>46198</v>
      </c>
      <c r="N276" s="8">
        <v>3</v>
      </c>
      <c r="O276" s="8">
        <v>22</v>
      </c>
      <c r="P276" s="8">
        <v>31</v>
      </c>
      <c r="Q276" s="8">
        <v>3</v>
      </c>
      <c r="R276" s="8">
        <v>2</v>
      </c>
      <c r="S276" s="4" t="s">
        <v>1166</v>
      </c>
      <c r="T276" s="9">
        <v>36.335871099999999</v>
      </c>
      <c r="U276" s="9">
        <v>127.43882170000001</v>
      </c>
    </row>
    <row r="277" spans="1:21" ht="32.1" hidden="1" customHeight="1">
      <c r="A277" s="5" t="s">
        <v>1857</v>
      </c>
      <c r="B277" s="5" t="s">
        <v>10</v>
      </c>
      <c r="C277" s="4" t="s">
        <v>1167</v>
      </c>
      <c r="D277" s="4" t="s">
        <v>271</v>
      </c>
      <c r="E277" s="6">
        <v>53</v>
      </c>
      <c r="F277" s="4" t="s">
        <v>290</v>
      </c>
      <c r="G277" s="4" t="s">
        <v>1168</v>
      </c>
      <c r="H277" s="4" t="s">
        <v>1169</v>
      </c>
      <c r="I277" s="5" t="str">
        <f>HYPERLINK("https://search.naver.com/search.naver?where=blog&amp;query=%EC%9A%B0%EB%A6%AC%EC%88%98%EC%82%B0+%EB%8F%99%EA%B5%AC","블로그 보기")</f>
        <v>블로그 보기</v>
      </c>
      <c r="J277" s="5"/>
      <c r="K277" s="5"/>
      <c r="L277" s="4"/>
      <c r="M277" s="7">
        <v>46219</v>
      </c>
      <c r="N277" s="8">
        <v>12</v>
      </c>
      <c r="O277" s="8">
        <v>91</v>
      </c>
      <c r="P277" s="8">
        <v>118</v>
      </c>
      <c r="Q277" s="8">
        <v>1</v>
      </c>
      <c r="R277" s="8">
        <v>1</v>
      </c>
      <c r="S277" s="4" t="s">
        <v>1083</v>
      </c>
      <c r="T277" s="9">
        <v>36.3275109</v>
      </c>
      <c r="U277" s="9">
        <v>127.4614474</v>
      </c>
    </row>
    <row r="278" spans="1:21" ht="32.1" customHeight="1">
      <c r="A278" s="5" t="s">
        <v>36</v>
      </c>
      <c r="B278" s="5" t="s">
        <v>10</v>
      </c>
      <c r="C278" s="4" t="s">
        <v>1170</v>
      </c>
      <c r="D278" s="4" t="s">
        <v>913</v>
      </c>
      <c r="E278" s="6">
        <v>53</v>
      </c>
      <c r="F278" s="4" t="s">
        <v>236</v>
      </c>
      <c r="G278" s="4" t="s">
        <v>1171</v>
      </c>
      <c r="H278" s="4" t="s">
        <v>1172</v>
      </c>
      <c r="I278" s="5" t="str">
        <f>HYPERLINK("https://search.naver.com/search.naver?where=blog&amp;query=%EC%9C%84%EB%8C%80%ED%95%9C%EC%A1%B0%EA%B0%9C%EC%A0%84%EA%B3%A8+%EB%8F%99%EA%B5%AC","블로그 보기")</f>
        <v>블로그 보기</v>
      </c>
      <c r="J278" s="5" t="str">
        <f>HYPERLINK("https://www.instagram.com/yang1212o","업체 보기")</f>
        <v>업체 보기</v>
      </c>
      <c r="K278" s="5"/>
      <c r="L278" s="4"/>
      <c r="M278" s="7">
        <v>46222</v>
      </c>
      <c r="N278" s="8">
        <v>27</v>
      </c>
      <c r="O278" s="8">
        <v>47</v>
      </c>
      <c r="P278" s="8">
        <v>54</v>
      </c>
      <c r="Q278" s="8">
        <v>2</v>
      </c>
      <c r="R278" s="8">
        <v>0</v>
      </c>
      <c r="S278" s="4" t="s">
        <v>1173</v>
      </c>
      <c r="T278" s="9">
        <v>36.333165100000002</v>
      </c>
      <c r="U278" s="9">
        <v>127.4556288</v>
      </c>
    </row>
    <row r="279" spans="1:21" ht="32.1" customHeight="1">
      <c r="A279" s="5" t="s">
        <v>36</v>
      </c>
      <c r="B279" s="5" t="s">
        <v>10</v>
      </c>
      <c r="C279" s="4" t="s">
        <v>1174</v>
      </c>
      <c r="D279" s="4" t="s">
        <v>475</v>
      </c>
      <c r="E279" s="6">
        <v>53</v>
      </c>
      <c r="F279" s="4" t="s">
        <v>56</v>
      </c>
      <c r="G279" s="4" t="s">
        <v>1175</v>
      </c>
      <c r="H279" s="4" t="s">
        <v>1176</v>
      </c>
      <c r="I279" s="5" t="str">
        <f>HYPERLINK("https://search.naver.com/search.naver?where=blog&amp;query=%ED%86%A0%EC%9A%B0+%EB%8F%99%EA%B5%AC","블로그 보기")</f>
        <v>블로그 보기</v>
      </c>
      <c r="J279" s="5"/>
      <c r="K279" s="5"/>
      <c r="L279" s="4"/>
      <c r="M279" s="7">
        <v>46223</v>
      </c>
      <c r="N279" s="8">
        <v>100</v>
      </c>
      <c r="O279" s="8">
        <v>81</v>
      </c>
      <c r="P279" s="8">
        <v>1625</v>
      </c>
      <c r="Q279" s="8">
        <v>1</v>
      </c>
      <c r="R279" s="8">
        <v>0</v>
      </c>
      <c r="S279" s="4" t="s">
        <v>1061</v>
      </c>
      <c r="T279" s="9">
        <v>36.328658300000001</v>
      </c>
      <c r="U279" s="9">
        <v>127.433639</v>
      </c>
    </row>
    <row r="280" spans="1:21" ht="32.1" customHeight="1">
      <c r="A280" s="5" t="s">
        <v>36</v>
      </c>
      <c r="B280" s="5" t="s">
        <v>10</v>
      </c>
      <c r="C280" s="4" t="s">
        <v>1177</v>
      </c>
      <c r="D280" s="4" t="s">
        <v>96</v>
      </c>
      <c r="E280" s="6">
        <v>52</v>
      </c>
      <c r="F280" s="4" t="s">
        <v>56</v>
      </c>
      <c r="G280" s="4" t="s">
        <v>1178</v>
      </c>
      <c r="H280" s="4" t="s">
        <v>1179</v>
      </c>
      <c r="I280" s="5" t="str">
        <f>HYPERLINK("https://search.naver.com/search.naver?where=blog&amp;query=%EC%86%A1%EB%A6%BC%EC%8B%9D%EB%8B%B9+%EB%8F%99%EA%B5%AC","블로그 보기")</f>
        <v>블로그 보기</v>
      </c>
      <c r="J280" s="5" t="str">
        <f>HYPERLINK("http://instagram.com/_lim_jae_hyoung","업체 보기")</f>
        <v>업체 보기</v>
      </c>
      <c r="K280" s="5"/>
      <c r="L280" s="4"/>
      <c r="M280" s="7">
        <v>46222</v>
      </c>
      <c r="N280" s="8">
        <v>100</v>
      </c>
      <c r="O280" s="8">
        <v>98</v>
      </c>
      <c r="P280" s="8">
        <v>630</v>
      </c>
      <c r="Q280" s="8">
        <v>1</v>
      </c>
      <c r="R280" s="8">
        <v>0</v>
      </c>
      <c r="S280" s="4" t="s">
        <v>1180</v>
      </c>
      <c r="T280" s="9">
        <v>36.3280338</v>
      </c>
      <c r="U280" s="9">
        <v>127.4336308</v>
      </c>
    </row>
    <row r="281" spans="1:21" ht="32.1" customHeight="1">
      <c r="A281" s="5" t="s">
        <v>36</v>
      </c>
      <c r="B281" s="5" t="s">
        <v>10</v>
      </c>
      <c r="C281" s="4" t="s">
        <v>1181</v>
      </c>
      <c r="D281" s="4" t="s">
        <v>96</v>
      </c>
      <c r="E281" s="6">
        <v>52</v>
      </c>
      <c r="F281" s="4" t="s">
        <v>439</v>
      </c>
      <c r="G281" s="4" t="s">
        <v>1182</v>
      </c>
      <c r="H281" s="4" t="s">
        <v>1183</v>
      </c>
      <c r="I281" s="5" t="str">
        <f>HYPERLINK("https://search.naver.com/search.naver?where=blog&amp;query=%EC%8A%A4%EB%AA%A8%ED%81%AC%ED%9E%90+%EB%8F%99%EA%B5%AC","블로그 보기")</f>
        <v>블로그 보기</v>
      </c>
      <c r="J281" s="5" t="str">
        <f>HYPERLINK("https://smokehill.co.kr","업체 보기")</f>
        <v>업체 보기</v>
      </c>
      <c r="K281" s="5"/>
      <c r="L281" s="4"/>
      <c r="M281" s="7">
        <v>46220</v>
      </c>
      <c r="N281" s="8">
        <v>18</v>
      </c>
      <c r="O281" s="8">
        <v>29</v>
      </c>
      <c r="P281" s="8">
        <v>29</v>
      </c>
      <c r="Q281" s="8">
        <v>2</v>
      </c>
      <c r="R281" s="8">
        <v>0</v>
      </c>
      <c r="S281" s="4" t="s">
        <v>947</v>
      </c>
      <c r="T281" s="9">
        <v>36.3193099</v>
      </c>
      <c r="U281" s="9">
        <v>127.46908740000001</v>
      </c>
    </row>
    <row r="282" spans="1:21" ht="32.1" customHeight="1">
      <c r="A282" s="5" t="s">
        <v>36</v>
      </c>
      <c r="B282" s="5" t="s">
        <v>10</v>
      </c>
      <c r="C282" s="4" t="s">
        <v>1184</v>
      </c>
      <c r="D282" s="4" t="s">
        <v>1000</v>
      </c>
      <c r="E282" s="6">
        <v>52</v>
      </c>
      <c r="F282" s="4" t="s">
        <v>56</v>
      </c>
      <c r="G282" s="4" t="s">
        <v>1185</v>
      </c>
      <c r="H282" s="4" t="s">
        <v>1186</v>
      </c>
      <c r="I282" s="5" t="str">
        <f>HYPERLINK("https://search.naver.com/search.naver?where=blog&amp;query=%EC%97%AD%EC%A0%84%EB%9C%A8%EB%81%88%EC%9D%B4%EB%BC%88%EA%B5%AC%EC%9D%B4+%EB%8F%99%EA%B5%AC","블로그 보기")</f>
        <v>블로그 보기</v>
      </c>
      <c r="J282" s="5"/>
      <c r="K282" s="5"/>
      <c r="L282" s="4"/>
      <c r="M282" s="7">
        <v>46223</v>
      </c>
      <c r="N282" s="8">
        <v>100</v>
      </c>
      <c r="O282" s="8">
        <v>88</v>
      </c>
      <c r="P282" s="8">
        <v>697</v>
      </c>
      <c r="Q282" s="8">
        <v>1</v>
      </c>
      <c r="R282" s="8">
        <v>0</v>
      </c>
      <c r="S282" s="4" t="s">
        <v>1187</v>
      </c>
      <c r="T282" s="9">
        <v>36.333072100000003</v>
      </c>
      <c r="U282" s="9">
        <v>127.4315986</v>
      </c>
    </row>
    <row r="283" spans="1:21" ht="32.1" customHeight="1">
      <c r="A283" s="5" t="s">
        <v>36</v>
      </c>
      <c r="B283" s="5" t="s">
        <v>10</v>
      </c>
      <c r="C283" s="4" t="s">
        <v>1188</v>
      </c>
      <c r="D283" s="4" t="s">
        <v>71</v>
      </c>
      <c r="E283" s="6">
        <v>52</v>
      </c>
      <c r="F283" s="4" t="s">
        <v>56</v>
      </c>
      <c r="G283" s="4" t="s">
        <v>1189</v>
      </c>
      <c r="H283" s="4" t="s">
        <v>1190</v>
      </c>
      <c r="I283" s="5" t="str">
        <f>HYPERLINK("https://search.naver.com/search.naver?where=blog&amp;query=%ED%9A%A8%EC%9E%90%ED%95%9C%EC%8B%9D%EB%B7%94%ED%8E%98+%EB%8F%99%EA%B5%AC","블로그 보기")</f>
        <v>블로그 보기</v>
      </c>
      <c r="J283" s="5" t="str">
        <f>HYPERLINK("https://www.instagram.com/hyoja_buffet_daejeon","업체 보기")</f>
        <v>업체 보기</v>
      </c>
      <c r="K283" s="5"/>
      <c r="L283" s="4"/>
      <c r="M283" s="7">
        <v>46220</v>
      </c>
      <c r="N283" s="8">
        <v>100</v>
      </c>
      <c r="O283" s="8">
        <v>94</v>
      </c>
      <c r="P283" s="8">
        <v>718</v>
      </c>
      <c r="Q283" s="8">
        <v>1</v>
      </c>
      <c r="R283" s="8">
        <v>0</v>
      </c>
      <c r="S283" s="4" t="s">
        <v>1191</v>
      </c>
      <c r="T283" s="9">
        <v>36.331072300000002</v>
      </c>
      <c r="U283" s="9">
        <v>127.42965959999999</v>
      </c>
    </row>
    <row r="284" spans="1:21" ht="32.1" hidden="1" customHeight="1">
      <c r="A284" s="5" t="s">
        <v>1857</v>
      </c>
      <c r="B284" s="5" t="s">
        <v>10</v>
      </c>
      <c r="C284" s="4" t="s">
        <v>1192</v>
      </c>
      <c r="D284" s="4" t="s">
        <v>271</v>
      </c>
      <c r="E284" s="6">
        <v>51</v>
      </c>
      <c r="F284" s="4" t="s">
        <v>56</v>
      </c>
      <c r="G284" s="4" t="s">
        <v>1193</v>
      </c>
      <c r="H284" s="4" t="s">
        <v>1194</v>
      </c>
      <c r="I284" s="5" t="str">
        <f>HYPERLINK("https://search.naver.com/search.naver?where=blog&amp;query=%EA%B9%80%EA%B5%BD%EB%8A%94%EB%82%A8%EC%9E%90%EB%93%A4+%EB%8C%80%EC%A0%84%EC%B2%9C%EB%8F%99","블로그 보기")</f>
        <v>블로그 보기</v>
      </c>
      <c r="J284" s="5" t="str">
        <f>HYPERLINK("https://smartstore.naver.com/gimgupnam","업체 보기")</f>
        <v>업체 보기</v>
      </c>
      <c r="K284" s="5"/>
      <c r="L284" s="4"/>
      <c r="M284" s="7">
        <v>46223</v>
      </c>
      <c r="N284" s="8">
        <v>100</v>
      </c>
      <c r="O284" s="8">
        <v>82</v>
      </c>
      <c r="P284" s="8">
        <v>414</v>
      </c>
      <c r="Q284" s="8">
        <v>1</v>
      </c>
      <c r="R284" s="8">
        <v>0</v>
      </c>
      <c r="S284" s="4" t="s">
        <v>1148</v>
      </c>
      <c r="T284" s="9">
        <v>36.328733200000002</v>
      </c>
      <c r="U284" s="9">
        <v>127.43113700000001</v>
      </c>
    </row>
    <row r="285" spans="1:21" ht="32.1" customHeight="1">
      <c r="A285" s="5" t="s">
        <v>36</v>
      </c>
      <c r="B285" s="5" t="s">
        <v>10</v>
      </c>
      <c r="C285" s="4" t="s">
        <v>1195</v>
      </c>
      <c r="D285" s="4" t="s">
        <v>71</v>
      </c>
      <c r="E285" s="6">
        <v>51</v>
      </c>
      <c r="F285" s="4" t="s">
        <v>1196</v>
      </c>
      <c r="G285" s="4" t="s">
        <v>1197</v>
      </c>
      <c r="H285" s="4" t="s">
        <v>1198</v>
      </c>
      <c r="I285" s="5" t="str">
        <f>HYPERLINK("https://search.naver.com/search.naver?where=blog&amp;query=%EB%A7%8C%EC%84%9D%EC%BD%94%EB%8B%A4%EB%A6%AC%EC%A1%B0%EB%A6%BC%EB%B6%88%EC%AD%88%EA%BE%B8%EB%AF%B8+%EB%8F%99%EA%B5%AC","블로그 보기")</f>
        <v>블로그 보기</v>
      </c>
      <c r="J285" s="5"/>
      <c r="K285" s="5"/>
      <c r="L285" s="4"/>
      <c r="M285" s="7">
        <v>46208</v>
      </c>
      <c r="N285" s="8">
        <v>96</v>
      </c>
      <c r="O285" s="8">
        <v>96</v>
      </c>
      <c r="P285" s="8">
        <v>387</v>
      </c>
      <c r="Q285" s="8">
        <v>1</v>
      </c>
      <c r="R285" s="8">
        <v>0</v>
      </c>
      <c r="S285" s="4" t="s">
        <v>976</v>
      </c>
      <c r="T285" s="9">
        <v>36.319169700000003</v>
      </c>
      <c r="U285" s="9">
        <v>127.4623837</v>
      </c>
    </row>
    <row r="286" spans="1:21" ht="32.1" customHeight="1">
      <c r="A286" s="5" t="s">
        <v>36</v>
      </c>
      <c r="B286" s="5" t="s">
        <v>10</v>
      </c>
      <c r="C286" s="4" t="s">
        <v>1199</v>
      </c>
      <c r="D286" s="4" t="s">
        <v>248</v>
      </c>
      <c r="E286" s="6">
        <v>51</v>
      </c>
      <c r="F286" s="4" t="s">
        <v>259</v>
      </c>
      <c r="G286" s="4" t="s">
        <v>1200</v>
      </c>
      <c r="H286" s="4" t="s">
        <v>1201</v>
      </c>
      <c r="I286" s="5" t="str">
        <f>HYPERLINK("https://search.naver.com/search.naver?where=blog&amp;query=%EB%A7%8C%ED%8F%AC%EB%B6%84%EC%8B%9D+%EB%8F%99%EA%B5%AC","블로그 보기")</f>
        <v>블로그 보기</v>
      </c>
      <c r="J286" s="5" t="str">
        <f>HYPERLINK("https://blog.naver.com/manpo2069","업체 보기")</f>
        <v>업체 보기</v>
      </c>
      <c r="K286" s="5"/>
      <c r="L286" s="4"/>
      <c r="M286" s="7">
        <v>46221</v>
      </c>
      <c r="N286" s="8">
        <v>17</v>
      </c>
      <c r="O286" s="8">
        <v>97</v>
      </c>
      <c r="P286" s="8">
        <v>231</v>
      </c>
      <c r="Q286" s="8">
        <v>1</v>
      </c>
      <c r="R286" s="8">
        <v>0</v>
      </c>
      <c r="S286" s="4" t="s">
        <v>1202</v>
      </c>
      <c r="T286" s="9">
        <v>36.347538100000001</v>
      </c>
      <c r="U286" s="9">
        <v>127.4293885</v>
      </c>
    </row>
    <row r="287" spans="1:21" ht="32.1" customHeight="1">
      <c r="A287" s="5" t="s">
        <v>36</v>
      </c>
      <c r="B287" s="5" t="s">
        <v>10</v>
      </c>
      <c r="C287" s="4" t="s">
        <v>1203</v>
      </c>
      <c r="D287" s="4" t="s">
        <v>226</v>
      </c>
      <c r="E287" s="6">
        <v>51</v>
      </c>
      <c r="F287" s="4" t="s">
        <v>1204</v>
      </c>
      <c r="G287" s="4" t="s">
        <v>1205</v>
      </c>
      <c r="H287" s="4" t="s">
        <v>1206</v>
      </c>
      <c r="I287" s="5" t="str">
        <f>HYPERLINK("https://search.naver.com/search.naver?where=blog&amp;query=%EC%B9%9C%EC%B9%9C%EC%96%91%EA%BC%AC%EC%B9%98+%EB%8F%99%EA%B5%AC","블로그 보기")</f>
        <v>블로그 보기</v>
      </c>
      <c r="J287" s="5"/>
      <c r="K287" s="5"/>
      <c r="L287" s="4"/>
      <c r="M287" s="7">
        <v>46219</v>
      </c>
      <c r="N287" s="8">
        <v>54</v>
      </c>
      <c r="O287" s="8">
        <v>95</v>
      </c>
      <c r="P287" s="8">
        <v>243</v>
      </c>
      <c r="Q287" s="8">
        <v>1</v>
      </c>
      <c r="R287" s="8">
        <v>0</v>
      </c>
      <c r="S287" s="4" t="s">
        <v>1207</v>
      </c>
      <c r="T287" s="9">
        <v>36.333424899999997</v>
      </c>
      <c r="U287" s="9">
        <v>127.4311642</v>
      </c>
    </row>
    <row r="288" spans="1:21" ht="32.1" customHeight="1">
      <c r="A288" s="5" t="s">
        <v>36</v>
      </c>
      <c r="B288" s="5" t="s">
        <v>10</v>
      </c>
      <c r="C288" s="4" t="s">
        <v>1208</v>
      </c>
      <c r="D288" s="4" t="s">
        <v>71</v>
      </c>
      <c r="E288" s="6">
        <v>50</v>
      </c>
      <c r="F288" s="4" t="s">
        <v>1209</v>
      </c>
      <c r="G288" s="4" t="s">
        <v>1210</v>
      </c>
      <c r="H288" s="4" t="s">
        <v>1211</v>
      </c>
      <c r="I288" s="5" t="str">
        <f>HYPERLINK("https://search.naver.com/search.naver?where=blog&amp;query=%EC%88%9C%EC%98%A5%EC%9D%B4%EB%84%A4+%EB%8F%99%EA%B5%AC","블로그 보기")</f>
        <v>블로그 보기</v>
      </c>
      <c r="J288" s="5"/>
      <c r="K288" s="5"/>
      <c r="L288" s="4"/>
      <c r="M288" s="7">
        <v>46205</v>
      </c>
      <c r="N288" s="8">
        <v>15</v>
      </c>
      <c r="O288" s="8">
        <v>90</v>
      </c>
      <c r="P288" s="8">
        <v>147</v>
      </c>
      <c r="Q288" s="8">
        <v>1</v>
      </c>
      <c r="R288" s="8">
        <v>0</v>
      </c>
      <c r="S288" s="4" t="s">
        <v>1014</v>
      </c>
      <c r="T288" s="9">
        <v>36.328830099999998</v>
      </c>
      <c r="U288" s="9">
        <v>127.43319990000001</v>
      </c>
    </row>
    <row r="289" spans="1:21" ht="32.1" customHeight="1">
      <c r="A289" s="5" t="s">
        <v>36</v>
      </c>
      <c r="B289" s="5" t="s">
        <v>10</v>
      </c>
      <c r="C289" s="4" t="s">
        <v>1212</v>
      </c>
      <c r="D289" s="4" t="s">
        <v>65</v>
      </c>
      <c r="E289" s="6">
        <v>50</v>
      </c>
      <c r="F289" s="4" t="s">
        <v>940</v>
      </c>
      <c r="G289" s="4" t="s">
        <v>1213</v>
      </c>
      <c r="H289" s="4" t="s">
        <v>1214</v>
      </c>
      <c r="I289" s="5" t="str">
        <f>HYPERLINK("https://search.naver.com/search.naver?where=blog&amp;query=%EC%8B%B1%EC%8B%B1%ED%9A%9F%EC%A7%91+%EB%8F%99%EA%B5%AC","블로그 보기")</f>
        <v>블로그 보기</v>
      </c>
      <c r="J289" s="5"/>
      <c r="K289" s="5"/>
      <c r="L289" s="4"/>
      <c r="M289" s="7">
        <v>46197</v>
      </c>
      <c r="N289" s="8">
        <v>40</v>
      </c>
      <c r="O289" s="8">
        <v>89</v>
      </c>
      <c r="P289" s="8">
        <v>106</v>
      </c>
      <c r="Q289" s="8">
        <v>1</v>
      </c>
      <c r="R289" s="8">
        <v>0</v>
      </c>
      <c r="S289" s="4" t="s">
        <v>1010</v>
      </c>
      <c r="T289" s="9">
        <v>36.345065300000002</v>
      </c>
      <c r="U289" s="9">
        <v>127.4425768</v>
      </c>
    </row>
    <row r="290" spans="1:21" ht="32.1" customHeight="1">
      <c r="A290" s="5" t="s">
        <v>36</v>
      </c>
      <c r="B290" s="5" t="s">
        <v>10</v>
      </c>
      <c r="C290" s="4" t="s">
        <v>1215</v>
      </c>
      <c r="D290" s="4" t="s">
        <v>559</v>
      </c>
      <c r="E290" s="6">
        <v>50</v>
      </c>
      <c r="F290" s="4" t="s">
        <v>1216</v>
      </c>
      <c r="G290" s="4" t="s">
        <v>1217</v>
      </c>
      <c r="H290" s="4" t="s">
        <v>1218</v>
      </c>
      <c r="I290" s="5" t="str">
        <f>HYPERLINK("https://search.naver.com/search.naver?where=blog&amp;query=%EC%97%AD%EC%A0%84%EC%9A%B0%EB%8F%990410+%EB%8C%80%EC%A0%84%EC%97%AD%EC%A0%90+%EB%8F%99%EA%B5%AC","블로그 보기")</f>
        <v>블로그 보기</v>
      </c>
      <c r="J290" s="5" t="str">
        <f>HYPERLINK("http://udon0410.com/","업체 보기")</f>
        <v>업체 보기</v>
      </c>
      <c r="K290" s="5"/>
      <c r="L290" s="4"/>
      <c r="M290" s="7">
        <v>46160</v>
      </c>
      <c r="N290" s="8">
        <v>6</v>
      </c>
      <c r="O290" s="8">
        <v>31</v>
      </c>
      <c r="P290" s="8">
        <v>40</v>
      </c>
      <c r="Q290" s="8">
        <v>1</v>
      </c>
      <c r="R290" s="8">
        <v>0</v>
      </c>
      <c r="S290" s="4" t="s">
        <v>1153</v>
      </c>
      <c r="T290" s="9">
        <v>36.332066599999997</v>
      </c>
      <c r="U290" s="9">
        <v>127.43242840000001</v>
      </c>
    </row>
    <row r="291" spans="1:21" ht="32.1" customHeight="1">
      <c r="A291" s="5" t="s">
        <v>36</v>
      </c>
      <c r="B291" s="5" t="s">
        <v>10</v>
      </c>
      <c r="C291" s="4" t="s">
        <v>1219</v>
      </c>
      <c r="D291" s="4" t="s">
        <v>55</v>
      </c>
      <c r="E291" s="6">
        <v>50</v>
      </c>
      <c r="F291" s="4" t="s">
        <v>849</v>
      </c>
      <c r="G291" s="4" t="s">
        <v>1220</v>
      </c>
      <c r="H291" s="4" t="s">
        <v>1221</v>
      </c>
      <c r="I291" s="5" t="str">
        <f>HYPERLINK("https://search.naver.com/search.naver?where=blog&amp;query=%EC%97%B4%EB%A6%B0%EB%8F%99%EB%82%A8%EC%88%9C%EB%8C%80+%EB%8F%99%EA%B5%AC","블로그 보기")</f>
        <v>블로그 보기</v>
      </c>
      <c r="J291" s="5"/>
      <c r="K291" s="5"/>
      <c r="L291" s="4"/>
      <c r="M291" s="7">
        <v>46220</v>
      </c>
      <c r="N291" s="8">
        <v>93</v>
      </c>
      <c r="O291" s="8">
        <v>15</v>
      </c>
      <c r="P291" s="8">
        <v>117</v>
      </c>
      <c r="Q291" s="8">
        <v>1</v>
      </c>
      <c r="R291" s="8">
        <v>0</v>
      </c>
      <c r="S291" s="4" t="s">
        <v>963</v>
      </c>
      <c r="T291" s="9">
        <v>36.322860200000001</v>
      </c>
      <c r="U291" s="9">
        <v>127.44751479999999</v>
      </c>
    </row>
    <row r="292" spans="1:21" ht="32.1" customHeight="1">
      <c r="A292" s="5" t="s">
        <v>36</v>
      </c>
      <c r="B292" s="5" t="s">
        <v>10</v>
      </c>
      <c r="C292" s="4" t="s">
        <v>1222</v>
      </c>
      <c r="D292" s="4" t="s">
        <v>38</v>
      </c>
      <c r="E292" s="6">
        <v>50</v>
      </c>
      <c r="F292" s="4" t="s">
        <v>350</v>
      </c>
      <c r="G292" s="4" t="s">
        <v>1223</v>
      </c>
      <c r="H292" s="4" t="s">
        <v>1224</v>
      </c>
      <c r="I292" s="5" t="str">
        <f>HYPERLINK("https://search.naver.com/search.naver?where=blog&amp;query=%EC%9C%A4%EC%84%B1%EB%B2%94%EB%B3%B4%EC%8C%88%EC%B9%BC%EA%B5%AD%EC%88%98+%EB%8F%99%EA%B5%AC","블로그 보기")</f>
        <v>블로그 보기</v>
      </c>
      <c r="J292" s="5" t="str">
        <f>HYPERLINK("https://www.instagram.com/yunssam_kalguksu","업체 보기")</f>
        <v>업체 보기</v>
      </c>
      <c r="K292" s="5"/>
      <c r="L292" s="4"/>
      <c r="M292" s="7">
        <v>46165</v>
      </c>
      <c r="N292" s="8">
        <v>5</v>
      </c>
      <c r="O292" s="8">
        <v>14</v>
      </c>
      <c r="P292" s="8">
        <v>14</v>
      </c>
      <c r="Q292" s="8">
        <v>1</v>
      </c>
      <c r="R292" s="8">
        <v>1</v>
      </c>
      <c r="S292" s="4" t="s">
        <v>1225</v>
      </c>
      <c r="T292" s="9">
        <v>36.3328901</v>
      </c>
      <c r="U292" s="9">
        <v>127.45323449999999</v>
      </c>
    </row>
    <row r="293" spans="1:21" ht="32.1" customHeight="1">
      <c r="A293" s="5" t="s">
        <v>36</v>
      </c>
      <c r="B293" s="5" t="s">
        <v>10</v>
      </c>
      <c r="C293" s="4" t="s">
        <v>1226</v>
      </c>
      <c r="D293" s="4" t="s">
        <v>125</v>
      </c>
      <c r="E293" s="6">
        <v>50</v>
      </c>
      <c r="F293" s="4" t="s">
        <v>1227</v>
      </c>
      <c r="G293" s="4" t="s">
        <v>1228</v>
      </c>
      <c r="H293" s="4" t="s">
        <v>1229</v>
      </c>
      <c r="I293" s="5" t="str">
        <f>HYPERLINK("https://search.naver.com/search.naver?where=blog&amp;query=%ED%8C%94%EC%A7%84%ED%96%A5+%EB%8F%99%EA%B5%AC","블로그 보기")</f>
        <v>블로그 보기</v>
      </c>
      <c r="J293" s="5" t="str">
        <f>HYPERLINK("http://0422855553.tshome.co.kr/","업체 보기")</f>
        <v>업체 보기</v>
      </c>
      <c r="K293" s="5"/>
      <c r="L293" s="4"/>
      <c r="M293" s="7">
        <v>46097</v>
      </c>
      <c r="N293" s="8">
        <v>52</v>
      </c>
      <c r="O293" s="8">
        <v>82</v>
      </c>
      <c r="P293" s="8">
        <v>108</v>
      </c>
      <c r="Q293" s="8">
        <v>1</v>
      </c>
      <c r="R293" s="8">
        <v>0</v>
      </c>
      <c r="S293" s="4" t="s">
        <v>1230</v>
      </c>
      <c r="T293" s="9">
        <v>36.335185000000003</v>
      </c>
      <c r="U293" s="9">
        <v>127.4560845</v>
      </c>
    </row>
    <row r="294" spans="1:21" ht="32.1" customHeight="1">
      <c r="A294" s="5" t="s">
        <v>36</v>
      </c>
      <c r="B294" s="5" t="s">
        <v>10</v>
      </c>
      <c r="C294" s="4" t="s">
        <v>1231</v>
      </c>
      <c r="D294" s="4" t="s">
        <v>71</v>
      </c>
      <c r="E294" s="6">
        <v>49</v>
      </c>
      <c r="F294" s="4" t="s">
        <v>439</v>
      </c>
      <c r="G294" s="4" t="s">
        <v>1232</v>
      </c>
      <c r="H294" s="4" t="s">
        <v>1233</v>
      </c>
      <c r="I294" s="5" t="str">
        <f>HYPERLINK("https://search.naver.com/search.naver?where=blog&amp;query=%ED%95%9C%EB%A7%88%EC%9D%8C%EC%8B%9D%EB%8B%B9+%EB%8C%80%EB%8F%99","블로그 보기")</f>
        <v>블로그 보기</v>
      </c>
      <c r="J294" s="5"/>
      <c r="K294" s="5"/>
      <c r="L294" s="4"/>
      <c r="M294" s="7">
        <v>46052</v>
      </c>
      <c r="N294" s="8">
        <v>18</v>
      </c>
      <c r="O294" s="8">
        <v>35</v>
      </c>
      <c r="P294" s="8">
        <v>64</v>
      </c>
      <c r="Q294" s="8">
        <v>1</v>
      </c>
      <c r="R294" s="8">
        <v>0</v>
      </c>
      <c r="S294" s="4" t="s">
        <v>983</v>
      </c>
      <c r="T294" s="9">
        <v>36.333721500000003</v>
      </c>
      <c r="U294" s="9">
        <v>127.4383545</v>
      </c>
    </row>
    <row r="295" spans="1:21" ht="32.1" customHeight="1">
      <c r="A295" s="5" t="s">
        <v>36</v>
      </c>
      <c r="B295" s="5" t="s">
        <v>10</v>
      </c>
      <c r="C295" s="4" t="s">
        <v>1234</v>
      </c>
      <c r="D295" s="4" t="s">
        <v>71</v>
      </c>
      <c r="E295" s="6">
        <v>48</v>
      </c>
      <c r="F295" s="4" t="s">
        <v>367</v>
      </c>
      <c r="G295" s="4" t="s">
        <v>1235</v>
      </c>
      <c r="H295" s="4" t="s">
        <v>1236</v>
      </c>
      <c r="I295" s="5" t="str">
        <f>HYPERLINK("https://search.naver.com/search.naver?where=blog&amp;query=%EA%B4%91%EC%B2%9C%EC%88%9C%EB%8C%80+%EB%8C%80%EC%A0%84%EC%B2%9C%EB%8F%99","블로그 보기")</f>
        <v>블로그 보기</v>
      </c>
      <c r="J295" s="5"/>
      <c r="K295" s="5"/>
      <c r="L295" s="4"/>
      <c r="M295" s="7">
        <v>46010</v>
      </c>
      <c r="N295" s="8">
        <v>13</v>
      </c>
      <c r="O295" s="8">
        <v>18</v>
      </c>
      <c r="P295" s="8">
        <v>34</v>
      </c>
      <c r="Q295" s="8">
        <v>1</v>
      </c>
      <c r="R295" s="8">
        <v>0</v>
      </c>
      <c r="S295" s="4" t="s">
        <v>1237</v>
      </c>
      <c r="T295" s="9">
        <v>36.322584900000003</v>
      </c>
      <c r="U295" s="9">
        <v>127.4360013</v>
      </c>
    </row>
    <row r="296" spans="1:21" ht="32.1" customHeight="1">
      <c r="A296" s="5" t="s">
        <v>36</v>
      </c>
      <c r="B296" s="5" t="s">
        <v>10</v>
      </c>
      <c r="C296" s="4" t="s">
        <v>1238</v>
      </c>
      <c r="D296" s="4" t="s">
        <v>55</v>
      </c>
      <c r="E296" s="6">
        <v>46</v>
      </c>
      <c r="F296" s="4" t="s">
        <v>1239</v>
      </c>
      <c r="G296" s="4" t="s">
        <v>1240</v>
      </c>
      <c r="H296" s="4" t="s">
        <v>1241</v>
      </c>
      <c r="I296" s="5" t="str">
        <f>HYPERLINK("https://search.naver.com/search.naver?where=blog&amp;query=%EB%A7%9B%EA%B3%A8+%EB%8F%99%EA%B5%AC","블로그 보기")</f>
        <v>블로그 보기</v>
      </c>
      <c r="J296" s="5"/>
      <c r="K296" s="5"/>
      <c r="L296" s="4"/>
      <c r="M296" s="7">
        <v>46204</v>
      </c>
      <c r="N296" s="8">
        <v>5</v>
      </c>
      <c r="O296" s="8">
        <v>31</v>
      </c>
      <c r="P296" s="8">
        <v>32</v>
      </c>
      <c r="Q296" s="8">
        <v>1</v>
      </c>
      <c r="R296" s="8">
        <v>1</v>
      </c>
      <c r="S296" s="4" t="s">
        <v>1242</v>
      </c>
      <c r="T296" s="9">
        <v>36.328367999999998</v>
      </c>
      <c r="U296" s="9">
        <v>127.4587925</v>
      </c>
    </row>
    <row r="297" spans="1:21" ht="32.1" hidden="1" customHeight="1">
      <c r="A297" s="5" t="s">
        <v>1857</v>
      </c>
      <c r="B297" s="5" t="s">
        <v>10</v>
      </c>
      <c r="C297" s="4" t="s">
        <v>1243</v>
      </c>
      <c r="D297" s="4" t="s">
        <v>271</v>
      </c>
      <c r="E297" s="6">
        <v>44</v>
      </c>
      <c r="F297" s="4" t="s">
        <v>421</v>
      </c>
      <c r="G297" s="4" t="s">
        <v>1244</v>
      </c>
      <c r="H297" s="4" t="s">
        <v>1245</v>
      </c>
      <c r="I297" s="5" t="str">
        <f>HYPERLINK("https://search.naver.com/search.naver?where=blog&amp;query=%EB%82%A8%EB%8F%84%EC%88%98%EC%82%B0+%EB%8F%99%EA%B5%AC","블로그 보기")</f>
        <v>블로그 보기</v>
      </c>
      <c r="J297" s="5"/>
      <c r="K297" s="5"/>
      <c r="L297" s="4"/>
      <c r="M297" s="7">
        <v>46067</v>
      </c>
      <c r="N297" s="8">
        <v>4</v>
      </c>
      <c r="O297" s="8">
        <v>34</v>
      </c>
      <c r="P297" s="8">
        <v>40</v>
      </c>
      <c r="Q297" s="8">
        <v>1</v>
      </c>
      <c r="R297" s="8">
        <v>1</v>
      </c>
      <c r="S297" s="4" t="s">
        <v>1083</v>
      </c>
      <c r="T297" s="9">
        <v>36.327432999999999</v>
      </c>
      <c r="U297" s="9">
        <v>127.4609616</v>
      </c>
    </row>
    <row r="298" spans="1:21" ht="32.1" customHeight="1">
      <c r="A298" s="5" t="s">
        <v>36</v>
      </c>
      <c r="B298" s="5" t="s">
        <v>10</v>
      </c>
      <c r="C298" s="4" t="s">
        <v>1246</v>
      </c>
      <c r="D298" s="4" t="s">
        <v>1247</v>
      </c>
      <c r="E298" s="6">
        <v>43</v>
      </c>
      <c r="F298" s="4" t="s">
        <v>1248</v>
      </c>
      <c r="G298" s="4" t="s">
        <v>1249</v>
      </c>
      <c r="H298" s="4" t="s">
        <v>1250</v>
      </c>
      <c r="I298" s="5" t="str">
        <f>HYPERLINK("https://search.naver.com/search.naver?where=blog&amp;query=%EB%B0%B1%EB%9D%BC%EB%A9%B4+%EB%8F%99%EA%B5%AC","블로그 보기")</f>
        <v>블로그 보기</v>
      </c>
      <c r="J298" s="5"/>
      <c r="K298" s="5"/>
      <c r="L298" s="4"/>
      <c r="M298" s="7">
        <v>46198</v>
      </c>
      <c r="N298" s="8">
        <v>2</v>
      </c>
      <c r="O298" s="8">
        <v>12</v>
      </c>
      <c r="P298" s="8">
        <v>12</v>
      </c>
      <c r="Q298" s="8">
        <v>2</v>
      </c>
      <c r="R298" s="8">
        <v>1</v>
      </c>
      <c r="S298" s="4" t="s">
        <v>1202</v>
      </c>
      <c r="T298" s="9">
        <v>36.337520099999999</v>
      </c>
      <c r="U298" s="9">
        <v>127.4379283</v>
      </c>
    </row>
    <row r="299" spans="1:21" ht="32.1" customHeight="1">
      <c r="A299" s="5" t="s">
        <v>36</v>
      </c>
      <c r="B299" s="5" t="s">
        <v>10</v>
      </c>
      <c r="C299" s="4" t="s">
        <v>1251</v>
      </c>
      <c r="D299" s="4" t="s">
        <v>38</v>
      </c>
      <c r="E299" s="6">
        <v>41</v>
      </c>
      <c r="F299" s="4" t="s">
        <v>1252</v>
      </c>
      <c r="G299" s="4" t="s">
        <v>1253</v>
      </c>
      <c r="H299" s="4" t="s">
        <v>1254</v>
      </c>
      <c r="I299" s="5" t="str">
        <f>HYPERLINK("https://search.naver.com/search.naver?where=blog&amp;query=%EC%96%BC%ED%81%B0%EC%9D%B4%EC%B9%BC%EA%B5%AD%EC%88%98+%EC%86%8C%EC%A0%9C%EC%A0%90+%EB%8F%99%EA%B5%AC","블로그 보기")</f>
        <v>블로그 보기</v>
      </c>
      <c r="J299" s="5"/>
      <c r="K299" s="5"/>
      <c r="L299" s="4"/>
      <c r="M299" s="7">
        <v>46199</v>
      </c>
      <c r="N299" s="8">
        <v>1</v>
      </c>
      <c r="O299" s="8">
        <v>3</v>
      </c>
      <c r="P299" s="8">
        <v>3</v>
      </c>
      <c r="Q299" s="8">
        <v>3</v>
      </c>
      <c r="R299" s="8">
        <v>1</v>
      </c>
      <c r="S299" s="4" t="s">
        <v>1255</v>
      </c>
      <c r="T299" s="9">
        <v>36.335293</v>
      </c>
      <c r="U299" s="9">
        <v>127.4388447</v>
      </c>
    </row>
    <row r="300" spans="1:21" ht="32.1" customHeight="1">
      <c r="A300" s="5" t="s">
        <v>36</v>
      </c>
      <c r="B300" s="5" t="s">
        <v>10</v>
      </c>
      <c r="C300" s="4" t="s">
        <v>1256</v>
      </c>
      <c r="D300" s="4" t="s">
        <v>71</v>
      </c>
      <c r="E300" s="6">
        <v>41</v>
      </c>
      <c r="F300" s="4" t="s">
        <v>421</v>
      </c>
      <c r="G300" s="4" t="s">
        <v>1257</v>
      </c>
      <c r="H300" s="4" t="s">
        <v>1258</v>
      </c>
      <c r="I300" s="5" t="str">
        <f>HYPERLINK("https://search.naver.com/search.naver?where=blog&amp;query=%EC%9D%BC%EA%B5%AC%EA%B5%AC%EA%B3%B5%EC%8B%9D%EB%8B%B9+%EB%8F%99%EA%B5%AC","블로그 보기")</f>
        <v>블로그 보기</v>
      </c>
      <c r="J300" s="5"/>
      <c r="K300" s="5"/>
      <c r="L300" s="4"/>
      <c r="M300" s="7">
        <v>46110</v>
      </c>
      <c r="N300" s="8">
        <v>4</v>
      </c>
      <c r="O300" s="8">
        <v>25</v>
      </c>
      <c r="P300" s="8">
        <v>26</v>
      </c>
      <c r="Q300" s="8">
        <v>1</v>
      </c>
      <c r="R300" s="8">
        <v>0</v>
      </c>
      <c r="S300" s="4" t="s">
        <v>1259</v>
      </c>
      <c r="T300" s="9">
        <v>36.331952999999999</v>
      </c>
      <c r="U300" s="9">
        <v>127.43195679999999</v>
      </c>
    </row>
    <row r="301" spans="1:21" ht="32.1" customHeight="1">
      <c r="A301" s="5" t="s">
        <v>36</v>
      </c>
      <c r="B301" s="5" t="s">
        <v>10</v>
      </c>
      <c r="C301" s="4" t="s">
        <v>1260</v>
      </c>
      <c r="D301" s="4" t="s">
        <v>559</v>
      </c>
      <c r="E301" s="6">
        <v>40</v>
      </c>
      <c r="F301" s="4" t="s">
        <v>1261</v>
      </c>
      <c r="G301" s="4" t="s">
        <v>1262</v>
      </c>
      <c r="H301" s="4" t="s">
        <v>1263</v>
      </c>
      <c r="I301" s="5" t="str">
        <f>HYPERLINK("https://search.naver.com/search.naver?where=blog&amp;query=%EA%B2%90%EB%A1%9C%EC%BF%A0+%EB%8C%80%EC%A0%84%EC%97%AD%EC%A0%90+%EB%8F%99%EA%B5%AC","블로그 보기")</f>
        <v>블로그 보기</v>
      </c>
      <c r="J301" s="5"/>
      <c r="K301" s="5"/>
      <c r="L301" s="4"/>
      <c r="M301" s="7">
        <v>45918</v>
      </c>
      <c r="N301" s="8">
        <v>1</v>
      </c>
      <c r="O301" s="8">
        <v>34</v>
      </c>
      <c r="P301" s="8">
        <v>34</v>
      </c>
      <c r="Q301" s="8">
        <v>1</v>
      </c>
      <c r="R301" s="8">
        <v>0</v>
      </c>
      <c r="S301" s="4" t="s">
        <v>1153</v>
      </c>
      <c r="T301" s="9">
        <v>36.3320176</v>
      </c>
      <c r="U301" s="9">
        <v>127.4340796</v>
      </c>
    </row>
    <row r="302" spans="1:21" ht="32.1" customHeight="1">
      <c r="A302" s="5" t="s">
        <v>36</v>
      </c>
      <c r="B302" s="5" t="s">
        <v>11</v>
      </c>
      <c r="C302" s="4" t="s">
        <v>1264</v>
      </c>
      <c r="D302" s="4" t="s">
        <v>150</v>
      </c>
      <c r="E302" s="6">
        <v>88</v>
      </c>
      <c r="F302" s="4" t="s">
        <v>97</v>
      </c>
      <c r="G302" s="4" t="s">
        <v>1265</v>
      </c>
      <c r="H302" s="4" t="s">
        <v>1266</v>
      </c>
      <c r="I302" s="5" t="str">
        <f>HYPERLINK("https://search.naver.com/search.naver?where=blog&amp;query=%EC%86%90%EC%9D%98%EC%86%90+%EB%B3%B8%EC%A0%90+%EC%84%9C%EA%B5%AC","블로그 보기")</f>
        <v>블로그 보기</v>
      </c>
      <c r="J302" s="5" t="str">
        <f>HYPERLINK("https://blog.naver.com/sonofson_","업체 보기")</f>
        <v>업체 보기</v>
      </c>
      <c r="K302" s="5"/>
      <c r="L302" s="4"/>
      <c r="M302" s="7">
        <v>46220</v>
      </c>
      <c r="N302" s="8">
        <v>100</v>
      </c>
      <c r="O302" s="8">
        <v>100</v>
      </c>
      <c r="P302" s="8">
        <v>494</v>
      </c>
      <c r="Q302" s="8">
        <v>6</v>
      </c>
      <c r="R302" s="8">
        <v>6</v>
      </c>
      <c r="S302" s="4" t="s">
        <v>1267</v>
      </c>
      <c r="T302" s="9">
        <v>36.350641400000001</v>
      </c>
      <c r="U302" s="9">
        <v>127.38120170000001</v>
      </c>
    </row>
    <row r="303" spans="1:21" ht="32.1" customHeight="1">
      <c r="A303" s="5" t="s">
        <v>36</v>
      </c>
      <c r="B303" s="5" t="s">
        <v>11</v>
      </c>
      <c r="C303" s="4" t="s">
        <v>1268</v>
      </c>
      <c r="D303" s="4" t="s">
        <v>215</v>
      </c>
      <c r="E303" s="6">
        <v>83</v>
      </c>
      <c r="F303" s="4" t="s">
        <v>97</v>
      </c>
      <c r="G303" s="4" t="s">
        <v>1269</v>
      </c>
      <c r="H303" s="4" t="s">
        <v>1270</v>
      </c>
      <c r="I303" s="5" t="str">
        <f>HYPERLINK("https://search.naver.com/search.naver?where=blog&amp;query=%EB%B2%BD%EB%8F%8C%EA%B3%B1%EC%B0%BD+%EC%8B%9C%EC%B2%AD%EB%B3%B8%EC%A0%90+%EC%84%9C%EA%B5%AC","블로그 보기")</f>
        <v>블로그 보기</v>
      </c>
      <c r="J303" s="5" t="str">
        <f>HYPERLINK("https://www.벽돌곱창.com","업체 보기")</f>
        <v>업체 보기</v>
      </c>
      <c r="K303" s="5"/>
      <c r="L303" s="4"/>
      <c r="M303" s="7">
        <v>46223</v>
      </c>
      <c r="N303" s="8">
        <v>100</v>
      </c>
      <c r="O303" s="8">
        <v>99</v>
      </c>
      <c r="P303" s="8">
        <v>2203</v>
      </c>
      <c r="Q303" s="8">
        <v>4</v>
      </c>
      <c r="R303" s="8">
        <v>4</v>
      </c>
      <c r="S303" s="4" t="s">
        <v>1271</v>
      </c>
      <c r="T303" s="9">
        <v>36.350844700000003</v>
      </c>
      <c r="U303" s="9">
        <v>127.3882399</v>
      </c>
    </row>
    <row r="304" spans="1:21" ht="32.1" customHeight="1">
      <c r="A304" s="5" t="s">
        <v>36</v>
      </c>
      <c r="B304" s="5" t="s">
        <v>11</v>
      </c>
      <c r="C304" s="4" t="s">
        <v>1272</v>
      </c>
      <c r="D304" s="4" t="s">
        <v>71</v>
      </c>
      <c r="E304" s="6">
        <v>81</v>
      </c>
      <c r="F304" s="4" t="s">
        <v>45</v>
      </c>
      <c r="G304" s="4" t="s">
        <v>1273</v>
      </c>
      <c r="H304" s="4" t="s">
        <v>1274</v>
      </c>
      <c r="I304" s="5" t="str">
        <f>HYPERLINK("https://search.naver.com/search.naver?where=blog&amp;query=%EB%BC%88%EC%B9%BC%EC%A7%91+%EB%8C%80%EC%A0%84%EB%91%94%EC%82%B0%EC%A0%90+%EC%84%9C%EA%B5%AC","블로그 보기")</f>
        <v>블로그 보기</v>
      </c>
      <c r="J304" s="5"/>
      <c r="K304" s="5"/>
      <c r="L304" s="4"/>
      <c r="M304" s="7">
        <v>46223</v>
      </c>
      <c r="N304" s="8">
        <v>100</v>
      </c>
      <c r="O304" s="8">
        <v>81</v>
      </c>
      <c r="P304" s="8">
        <v>399</v>
      </c>
      <c r="Q304" s="8">
        <v>7</v>
      </c>
      <c r="R304" s="8">
        <v>3</v>
      </c>
      <c r="S304" s="4" t="s">
        <v>1271</v>
      </c>
      <c r="T304" s="9">
        <v>36.351892300000003</v>
      </c>
      <c r="U304" s="9">
        <v>127.3883728</v>
      </c>
    </row>
    <row r="305" spans="1:21" ht="32.1" customHeight="1">
      <c r="A305" s="5" t="s">
        <v>36</v>
      </c>
      <c r="B305" s="5" t="s">
        <v>11</v>
      </c>
      <c r="C305" s="4" t="s">
        <v>1275</v>
      </c>
      <c r="D305" s="4" t="s">
        <v>354</v>
      </c>
      <c r="E305" s="6">
        <v>78</v>
      </c>
      <c r="F305" s="4" t="s">
        <v>126</v>
      </c>
      <c r="G305" s="4" t="s">
        <v>1276</v>
      </c>
      <c r="H305" s="4" t="s">
        <v>1277</v>
      </c>
      <c r="I305" s="5" t="str">
        <f>HYPERLINK("https://search.naver.com/search.naver?where=blog&amp;query=%EB%AA%BD%EC%83%81+%EB%8C%80%EC%A0%84%EB%91%94%EC%82%B0%EB%B3%B8%EC%A0%90+%EC%84%9C%EA%B5%AC","블로그 보기")</f>
        <v>블로그 보기</v>
      </c>
      <c r="J305" s="5" t="str">
        <f>HYPERLINK("https://www.instagram.com/mongsang_91","업체 보기")</f>
        <v>업체 보기</v>
      </c>
      <c r="K305" s="5"/>
      <c r="L305" s="4"/>
      <c r="M305" s="7">
        <v>46223</v>
      </c>
      <c r="N305" s="8">
        <v>100</v>
      </c>
      <c r="O305" s="8">
        <v>93</v>
      </c>
      <c r="P305" s="8">
        <v>7854</v>
      </c>
      <c r="Q305" s="8">
        <v>3</v>
      </c>
      <c r="R305" s="8">
        <v>2</v>
      </c>
      <c r="S305" s="4" t="s">
        <v>1278</v>
      </c>
      <c r="T305" s="9">
        <v>36.353248499999999</v>
      </c>
      <c r="U305" s="9">
        <v>127.37811600000001</v>
      </c>
    </row>
    <row r="306" spans="1:21" ht="32.1" customHeight="1">
      <c r="A306" s="5" t="s">
        <v>36</v>
      </c>
      <c r="B306" s="5" t="s">
        <v>11</v>
      </c>
      <c r="C306" s="4" t="s">
        <v>1279</v>
      </c>
      <c r="D306" s="4" t="s">
        <v>1280</v>
      </c>
      <c r="E306" s="6">
        <v>77</v>
      </c>
      <c r="F306" s="4" t="s">
        <v>1281</v>
      </c>
      <c r="G306" s="4" t="s">
        <v>1282</v>
      </c>
      <c r="H306" s="4" t="s">
        <v>1283</v>
      </c>
      <c r="I306" s="5" t="str">
        <f>HYPERLINK("https://search.naver.com/search.naver?where=blog&amp;query=%EB%B3%B4%EB%81%84%EB%AF%B8+%EB%8C%80%EC%A0%84%EC%A0%90+%EC%84%9C%EA%B5%AC","블로그 보기")</f>
        <v>블로그 보기</v>
      </c>
      <c r="J306" s="5"/>
      <c r="K306" s="5"/>
      <c r="L306" s="4"/>
      <c r="M306" s="7">
        <v>46219</v>
      </c>
      <c r="N306" s="8">
        <v>8</v>
      </c>
      <c r="O306" s="8">
        <v>25</v>
      </c>
      <c r="P306" s="8">
        <v>30</v>
      </c>
      <c r="Q306" s="8">
        <v>4</v>
      </c>
      <c r="R306" s="8">
        <v>4</v>
      </c>
      <c r="S306" s="4" t="s">
        <v>1284</v>
      </c>
      <c r="T306" s="9">
        <v>36.354484300000003</v>
      </c>
      <c r="U306" s="9">
        <v>127.3805899</v>
      </c>
    </row>
    <row r="307" spans="1:21" ht="32.1" customHeight="1">
      <c r="A307" s="5" t="s">
        <v>36</v>
      </c>
      <c r="B307" s="5" t="s">
        <v>11</v>
      </c>
      <c r="C307" s="4" t="s">
        <v>1285</v>
      </c>
      <c r="D307" s="4" t="s">
        <v>71</v>
      </c>
      <c r="E307" s="6">
        <v>73</v>
      </c>
      <c r="F307" s="4" t="s">
        <v>87</v>
      </c>
      <c r="G307" s="4" t="s">
        <v>1286</v>
      </c>
      <c r="H307" s="4" t="s">
        <v>1287</v>
      </c>
      <c r="I307" s="5" t="str">
        <f>HYPERLINK("https://search.naver.com/search.naver?where=blog&amp;query=%EB%8C%80%EC%84%A0%EC%B9%BC%EA%B5%AD%EC%88%98+%EB%B3%B8%EC%A0%90+%EC%84%9C%EA%B5%AC","블로그 보기")</f>
        <v>블로그 보기</v>
      </c>
      <c r="J307" s="5"/>
      <c r="K307" s="5"/>
      <c r="L307" s="4"/>
      <c r="M307" s="7">
        <v>46221</v>
      </c>
      <c r="N307" s="8">
        <v>100</v>
      </c>
      <c r="O307" s="8">
        <v>97</v>
      </c>
      <c r="P307" s="8">
        <v>810</v>
      </c>
      <c r="Q307" s="8">
        <v>3</v>
      </c>
      <c r="R307" s="8">
        <v>1</v>
      </c>
      <c r="S307" s="4" t="s">
        <v>1288</v>
      </c>
      <c r="T307" s="9">
        <v>36.349934599999997</v>
      </c>
      <c r="U307" s="9">
        <v>127.3883481</v>
      </c>
    </row>
    <row r="308" spans="1:21" ht="32.1" customHeight="1">
      <c r="A308" s="5" t="s">
        <v>36</v>
      </c>
      <c r="B308" s="5" t="s">
        <v>11</v>
      </c>
      <c r="C308" s="4" t="s">
        <v>1289</v>
      </c>
      <c r="D308" s="4" t="s">
        <v>96</v>
      </c>
      <c r="E308" s="6">
        <v>72</v>
      </c>
      <c r="F308" s="4" t="s">
        <v>126</v>
      </c>
      <c r="G308" s="4" t="s">
        <v>1290</v>
      </c>
      <c r="H308" s="4" t="s">
        <v>1291</v>
      </c>
      <c r="I308" s="5" t="str">
        <f>HYPERLINK("https://search.naver.com/search.naver?where=blog&amp;query=%EB%B6%88%ED%83%80%EB%8A%94%EC%AA%BD%EA%B0%88%EB%B9%84+%EB%8C%80%EC%A0%84%EB%91%94%EC%82%B0%EB%B3%B8%EC%A0%90+%EC%84%9C%EA%B5%AC","블로그 보기")</f>
        <v>블로그 보기</v>
      </c>
      <c r="J308" s="5"/>
      <c r="K308" s="5"/>
      <c r="L308" s="4"/>
      <c r="M308" s="7">
        <v>46222</v>
      </c>
      <c r="N308" s="8">
        <v>100</v>
      </c>
      <c r="O308" s="8">
        <v>91</v>
      </c>
      <c r="P308" s="8">
        <v>887</v>
      </c>
      <c r="Q308" s="8">
        <v>2</v>
      </c>
      <c r="R308" s="8">
        <v>2</v>
      </c>
      <c r="S308" s="4" t="s">
        <v>1292</v>
      </c>
      <c r="T308" s="9">
        <v>36.3525597</v>
      </c>
      <c r="U308" s="9">
        <v>127.37699569999999</v>
      </c>
    </row>
    <row r="309" spans="1:21" ht="32.1" customHeight="1">
      <c r="A309" s="5" t="s">
        <v>36</v>
      </c>
      <c r="B309" s="5" t="s">
        <v>11</v>
      </c>
      <c r="C309" s="4" t="s">
        <v>1293</v>
      </c>
      <c r="D309" s="4" t="s">
        <v>96</v>
      </c>
      <c r="E309" s="6">
        <v>71</v>
      </c>
      <c r="F309" s="4" t="s">
        <v>97</v>
      </c>
      <c r="G309" s="4" t="s">
        <v>1294</v>
      </c>
      <c r="H309" s="4" t="s">
        <v>1295</v>
      </c>
      <c r="I309" s="5" t="str">
        <f>HYPERLINK("https://search.naver.com/search.naver?where=blog&amp;query=%EC%AA%BD%EA%B0%88%EB%B9%84+%EB%B3%B8%EC%A0%90+%EC%84%9C%EA%B5%AC","블로그 보기")</f>
        <v>블로그 보기</v>
      </c>
      <c r="J309" s="5"/>
      <c r="K309" s="5"/>
      <c r="L309" s="4"/>
      <c r="M309" s="7">
        <v>46217</v>
      </c>
      <c r="N309" s="8">
        <v>100</v>
      </c>
      <c r="O309" s="8">
        <v>93</v>
      </c>
      <c r="P309" s="8">
        <v>675</v>
      </c>
      <c r="Q309" s="8">
        <v>3</v>
      </c>
      <c r="R309" s="8">
        <v>2</v>
      </c>
      <c r="S309" s="4" t="s">
        <v>1296</v>
      </c>
      <c r="T309" s="9">
        <v>36.347613299999999</v>
      </c>
      <c r="U309" s="9">
        <v>127.3754548</v>
      </c>
    </row>
    <row r="310" spans="1:21" ht="32.1" customHeight="1">
      <c r="A310" s="5" t="s">
        <v>36</v>
      </c>
      <c r="B310" s="5" t="s">
        <v>11</v>
      </c>
      <c r="C310" s="4" t="s">
        <v>1297</v>
      </c>
      <c r="D310" s="4" t="s">
        <v>38</v>
      </c>
      <c r="E310" s="6">
        <v>70</v>
      </c>
      <c r="F310" s="4" t="s">
        <v>39</v>
      </c>
      <c r="G310" s="4" t="s">
        <v>1298</v>
      </c>
      <c r="H310" s="4" t="s">
        <v>1299</v>
      </c>
      <c r="I310" s="5" t="str">
        <f>HYPERLINK("https://search.naver.com/search.naver?where=blog&amp;query=%EA%B3%B5%EC%A3%BC%EC%B9%BC%EA%B5%AD%EC%88%98+%EC%84%9C%EA%B5%AC","블로그 보기")</f>
        <v>블로그 보기</v>
      </c>
      <c r="J310" s="5" t="str">
        <f>HYPERLINK("https://youtube.com/shorts/23bLt9WcVMY?si=BN3fYX3dGgNAc8rN","업체 보기")</f>
        <v>업체 보기</v>
      </c>
      <c r="K310" s="5"/>
      <c r="L310" s="4"/>
      <c r="M310" s="7">
        <v>46223</v>
      </c>
      <c r="N310" s="8">
        <v>100</v>
      </c>
      <c r="O310" s="8">
        <v>96</v>
      </c>
      <c r="P310" s="8">
        <v>3537</v>
      </c>
      <c r="Q310" s="8">
        <v>3</v>
      </c>
      <c r="R310" s="8">
        <v>1</v>
      </c>
      <c r="S310" s="4" t="s">
        <v>1300</v>
      </c>
      <c r="T310" s="9">
        <v>36.345883000000001</v>
      </c>
      <c r="U310" s="9">
        <v>127.3693028</v>
      </c>
    </row>
    <row r="311" spans="1:21" ht="32.1" customHeight="1">
      <c r="A311" s="5" t="s">
        <v>36</v>
      </c>
      <c r="B311" s="5" t="s">
        <v>11</v>
      </c>
      <c r="C311" s="4" t="s">
        <v>1301</v>
      </c>
      <c r="D311" s="4" t="s">
        <v>306</v>
      </c>
      <c r="E311" s="6">
        <v>69</v>
      </c>
      <c r="F311" s="4" t="s">
        <v>45</v>
      </c>
      <c r="G311" s="4" t="s">
        <v>1302</v>
      </c>
      <c r="H311" s="4" t="s">
        <v>1303</v>
      </c>
      <c r="I311" s="5" t="str">
        <f>HYPERLINK("https://search.naver.com/search.naver?where=blog&amp;query=%EB%B3%84%EB%8B%AC%EB%8F%88%EA%B9%8C%EC%8A%A4+%EB%8C%80%EC%A0%84%EB%91%94%EC%82%B0%EC%A0%90+%EC%84%9C%EA%B5%AC","블로그 보기")</f>
        <v>블로그 보기</v>
      </c>
      <c r="J311" s="5" t="str">
        <f>HYPERLINK("https://blog.naver.com/starmooncaffe/223277382909","업체 보기")</f>
        <v>업체 보기</v>
      </c>
      <c r="K311" s="5"/>
      <c r="L311" s="4"/>
      <c r="M311" s="7">
        <v>46223</v>
      </c>
      <c r="N311" s="8">
        <v>100</v>
      </c>
      <c r="O311" s="8">
        <v>83</v>
      </c>
      <c r="P311" s="8">
        <v>4937</v>
      </c>
      <c r="Q311" s="8">
        <v>2</v>
      </c>
      <c r="R311" s="8">
        <v>2</v>
      </c>
      <c r="S311" s="4" t="s">
        <v>1304</v>
      </c>
      <c r="T311" s="9">
        <v>36.351587799999997</v>
      </c>
      <c r="U311" s="9">
        <v>127.3771612</v>
      </c>
    </row>
    <row r="312" spans="1:21" ht="32.1" customHeight="1">
      <c r="A312" s="5" t="s">
        <v>36</v>
      </c>
      <c r="B312" s="5" t="s">
        <v>11</v>
      </c>
      <c r="C312" s="4" t="s">
        <v>1305</v>
      </c>
      <c r="D312" s="4" t="s">
        <v>96</v>
      </c>
      <c r="E312" s="6">
        <v>67</v>
      </c>
      <c r="F312" s="4" t="s">
        <v>45</v>
      </c>
      <c r="G312" s="4" t="s">
        <v>1306</v>
      </c>
      <c r="H312" s="4" t="s">
        <v>1307</v>
      </c>
      <c r="I312" s="5" t="str">
        <f>HYPERLINK("https://search.naver.com/search.naver?where=blog&amp;query=%EA%B0%88%EB%B9%84%EB%A7%8C+%EB%8C%80%EC%A0%84%EC%A0%90+%EC%84%9C%EA%B5%AC","블로그 보기")</f>
        <v>블로그 보기</v>
      </c>
      <c r="J312" s="5" t="str">
        <f>HYPERLINK("https://app.catchtable.co.kr/ct/shop/galvimandaejeonbranch","업체 보기")</f>
        <v>업체 보기</v>
      </c>
      <c r="K312" s="5"/>
      <c r="L312" s="4"/>
      <c r="M312" s="7">
        <v>46223</v>
      </c>
      <c r="N312" s="8">
        <v>100</v>
      </c>
      <c r="O312" s="8">
        <v>94</v>
      </c>
      <c r="P312" s="8">
        <v>254</v>
      </c>
      <c r="Q312" s="8">
        <v>3</v>
      </c>
      <c r="R312" s="8">
        <v>1</v>
      </c>
      <c r="S312" s="4" t="s">
        <v>1308</v>
      </c>
      <c r="T312" s="9">
        <v>36.353572399999997</v>
      </c>
      <c r="U312" s="9">
        <v>127.3664816</v>
      </c>
    </row>
    <row r="313" spans="1:21" ht="32.1" customHeight="1">
      <c r="A313" s="5" t="s">
        <v>36</v>
      </c>
      <c r="B313" s="5" t="s">
        <v>11</v>
      </c>
      <c r="C313" s="4" t="s">
        <v>1309</v>
      </c>
      <c r="D313" s="4" t="s">
        <v>71</v>
      </c>
      <c r="E313" s="6">
        <v>67</v>
      </c>
      <c r="F313" s="4" t="s">
        <v>126</v>
      </c>
      <c r="G313" s="4" t="s">
        <v>1310</v>
      </c>
      <c r="H313" s="4" t="s">
        <v>1311</v>
      </c>
      <c r="I313" s="5" t="str">
        <f>HYPERLINK("https://search.naver.com/search.naver?where=blog&amp;query=%EB%85%B9%EC%88%98%EC%B2%AD%EC%82%B0+%EB%8C%80%EC%A0%84%EC%8B%9C%EC%B2%AD%EB%B3%B8%EC%A0%90+%EC%84%9C%EA%B5%AC","블로그 보기")</f>
        <v>블로그 보기</v>
      </c>
      <c r="J313" s="5"/>
      <c r="K313" s="5"/>
      <c r="L313" s="4"/>
      <c r="M313" s="7">
        <v>46223</v>
      </c>
      <c r="N313" s="8">
        <v>100</v>
      </c>
      <c r="O313" s="8">
        <v>95</v>
      </c>
      <c r="P313" s="8">
        <v>5975</v>
      </c>
      <c r="Q313" s="8">
        <v>1</v>
      </c>
      <c r="R313" s="8">
        <v>1</v>
      </c>
      <c r="S313" s="4" t="s">
        <v>1312</v>
      </c>
      <c r="T313" s="9">
        <v>36.3500096</v>
      </c>
      <c r="U313" s="9">
        <v>127.38219650000001</v>
      </c>
    </row>
    <row r="314" spans="1:21" ht="32.1" customHeight="1">
      <c r="A314" s="5" t="s">
        <v>36</v>
      </c>
      <c r="B314" s="5" t="s">
        <v>11</v>
      </c>
      <c r="C314" s="4" t="s">
        <v>1313</v>
      </c>
      <c r="D314" s="4" t="s">
        <v>71</v>
      </c>
      <c r="E314" s="6">
        <v>67</v>
      </c>
      <c r="F314" s="4" t="s">
        <v>126</v>
      </c>
      <c r="G314" s="4" t="s">
        <v>1314</v>
      </c>
      <c r="H314" s="4" t="s">
        <v>1315</v>
      </c>
      <c r="I314" s="5" t="str">
        <f>HYPERLINK("https://search.naver.com/search.naver?where=blog&amp;query=%EC%82%B0%EC%98%A4%EC%A7%95%EC%96%B4%EB%B9%84%EB%B9%94%ED%9A%8C%EC%96%91%ED%91%BC%EB%AC%B4%EC%B9%A8+%EB%8C%80%EC%A0%84%EB%B3%B8%EC%A0%90+%EC%84%9C%EA%B5%AC","블로그 보기")</f>
        <v>블로그 보기</v>
      </c>
      <c r="J314" s="5"/>
      <c r="K314" s="5"/>
      <c r="L314" s="4"/>
      <c r="M314" s="7">
        <v>46222</v>
      </c>
      <c r="N314" s="8">
        <v>100</v>
      </c>
      <c r="O314" s="8">
        <v>96</v>
      </c>
      <c r="P314" s="8">
        <v>2458</v>
      </c>
      <c r="Q314" s="8">
        <v>1</v>
      </c>
      <c r="R314" s="8">
        <v>1</v>
      </c>
      <c r="S314" s="4" t="s">
        <v>1316</v>
      </c>
      <c r="T314" s="9">
        <v>36.3514494</v>
      </c>
      <c r="U314" s="9">
        <v>127.3770912</v>
      </c>
    </row>
    <row r="315" spans="1:21" ht="32.1" customHeight="1">
      <c r="A315" s="5" t="s">
        <v>36</v>
      </c>
      <c r="B315" s="5" t="s">
        <v>11</v>
      </c>
      <c r="C315" s="4" t="s">
        <v>1317</v>
      </c>
      <c r="D315" s="4" t="s">
        <v>55</v>
      </c>
      <c r="E315" s="6">
        <v>66</v>
      </c>
      <c r="F315" s="4" t="s">
        <v>97</v>
      </c>
      <c r="G315" s="4" t="s">
        <v>1318</v>
      </c>
      <c r="H315" s="4" t="s">
        <v>1319</v>
      </c>
      <c r="I315" s="5" t="str">
        <f>HYPERLINK("https://search.naver.com/search.naver?where=blog&amp;query=24%EC%8B%9C%EC%88%9C%EB%8C%80%EC%A1%B1%EB%B0%9C+%EB%B3%B8%EC%A0%90+%EC%84%9C%EA%B5%AC","블로그 보기")</f>
        <v>블로그 보기</v>
      </c>
      <c r="J315" s="5"/>
      <c r="K315" s="5"/>
      <c r="L315" s="4"/>
      <c r="M315" s="7">
        <v>46222</v>
      </c>
      <c r="N315" s="8">
        <v>100</v>
      </c>
      <c r="O315" s="8">
        <v>92</v>
      </c>
      <c r="P315" s="8">
        <v>2563</v>
      </c>
      <c r="Q315" s="8">
        <v>2</v>
      </c>
      <c r="R315" s="8">
        <v>1</v>
      </c>
      <c r="S315" s="4" t="s">
        <v>1320</v>
      </c>
      <c r="T315" s="9">
        <v>36.345065599999998</v>
      </c>
      <c r="U315" s="9">
        <v>127.369376</v>
      </c>
    </row>
    <row r="316" spans="1:21" ht="32.1" customHeight="1">
      <c r="A316" s="5" t="s">
        <v>36</v>
      </c>
      <c r="B316" s="5" t="s">
        <v>11</v>
      </c>
      <c r="C316" s="4" t="s">
        <v>1321</v>
      </c>
      <c r="D316" s="4" t="s">
        <v>55</v>
      </c>
      <c r="E316" s="6">
        <v>66</v>
      </c>
      <c r="F316" s="4" t="s">
        <v>56</v>
      </c>
      <c r="G316" s="4" t="s">
        <v>1322</v>
      </c>
      <c r="H316" s="4" t="s">
        <v>1323</v>
      </c>
      <c r="I316" s="5" t="str">
        <f>HYPERLINK("https://search.naver.com/search.naver?where=blog&amp;query=%EA%B0%80%EB%A7%88%EC%86%A5%EB%B3%B4%EC%9D%80%EC%88%9C%EB%8C%80+%EC%84%9C%EA%B5%AC","블로그 보기")</f>
        <v>블로그 보기</v>
      </c>
      <c r="J316" s="5"/>
      <c r="K316" s="5"/>
      <c r="L316" s="4"/>
      <c r="M316" s="7">
        <v>46221</v>
      </c>
      <c r="N316" s="8">
        <v>100</v>
      </c>
      <c r="O316" s="8">
        <v>89</v>
      </c>
      <c r="P316" s="8">
        <v>487</v>
      </c>
      <c r="Q316" s="8">
        <v>3</v>
      </c>
      <c r="R316" s="8">
        <v>2</v>
      </c>
      <c r="S316" s="4" t="s">
        <v>1324</v>
      </c>
      <c r="T316" s="9">
        <v>36.339775299999999</v>
      </c>
      <c r="U316" s="9">
        <v>127.36671699999999</v>
      </c>
    </row>
    <row r="317" spans="1:21" ht="32.1" customHeight="1">
      <c r="A317" s="5" t="s">
        <v>36</v>
      </c>
      <c r="B317" s="5" t="s">
        <v>11</v>
      </c>
      <c r="C317" s="4" t="s">
        <v>1325</v>
      </c>
      <c r="D317" s="4" t="s">
        <v>1326</v>
      </c>
      <c r="E317" s="6">
        <v>66</v>
      </c>
      <c r="F317" s="4" t="s">
        <v>1327</v>
      </c>
      <c r="G317" s="4" t="s">
        <v>1328</v>
      </c>
      <c r="H317" s="4" t="s">
        <v>1329</v>
      </c>
      <c r="I317" s="5" t="str">
        <f>HYPERLINK("https://search.naver.com/search.naver?where=blog&amp;query=%ED%86%A0%EC%A2%85%EA%B3%A8%EC%98%BB%EB%8B%AD%EB%A7%88%EC%9D%84+%EB%8C%80%EC%A0%84%EB%B3%B8%EC%A0%90+%EC%84%9C%EA%B5%AC","블로그 보기")</f>
        <v>블로그 보기</v>
      </c>
      <c r="J317" s="5"/>
      <c r="K317" s="5"/>
      <c r="L317" s="4"/>
      <c r="M317" s="7">
        <v>46077</v>
      </c>
      <c r="N317" s="8">
        <v>13</v>
      </c>
      <c r="O317" s="8">
        <v>64</v>
      </c>
      <c r="P317" s="8">
        <v>86</v>
      </c>
      <c r="Q317" s="8">
        <v>2</v>
      </c>
      <c r="R317" s="8">
        <v>1</v>
      </c>
      <c r="S317" s="4" t="s">
        <v>1330</v>
      </c>
      <c r="T317" s="9">
        <v>36.351044100000003</v>
      </c>
      <c r="U317" s="9">
        <v>127.3732126</v>
      </c>
    </row>
    <row r="318" spans="1:21" ht="32.1" customHeight="1">
      <c r="A318" s="5" t="s">
        <v>36</v>
      </c>
      <c r="B318" s="5" t="s">
        <v>11</v>
      </c>
      <c r="C318" s="4" t="s">
        <v>1331</v>
      </c>
      <c r="D318" s="4" t="s">
        <v>71</v>
      </c>
      <c r="E318" s="6">
        <v>65</v>
      </c>
      <c r="F318" s="4" t="s">
        <v>409</v>
      </c>
      <c r="G318" s="4" t="s">
        <v>1332</v>
      </c>
      <c r="H318" s="4" t="s">
        <v>1333</v>
      </c>
      <c r="I318" s="5" t="str">
        <f>HYPERLINK("https://search.naver.com/search.naver?where=blog&amp;query=%EC%9C%A0%EC%9B%90%EC%98%A5+%EC%84%9C%EA%B5%AC","블로그 보기")</f>
        <v>블로그 보기</v>
      </c>
      <c r="J318" s="5"/>
      <c r="K318" s="5"/>
      <c r="L318" s="4"/>
      <c r="M318" s="7">
        <v>46188</v>
      </c>
      <c r="N318" s="8">
        <v>43</v>
      </c>
      <c r="O318" s="8">
        <v>96</v>
      </c>
      <c r="P318" s="8">
        <v>395</v>
      </c>
      <c r="Q318" s="8">
        <v>3</v>
      </c>
      <c r="R318" s="8">
        <v>2</v>
      </c>
      <c r="S318" s="4" t="s">
        <v>1334</v>
      </c>
      <c r="T318" s="9">
        <v>36.353161100000001</v>
      </c>
      <c r="U318" s="9">
        <v>127.3895409</v>
      </c>
    </row>
    <row r="319" spans="1:21" ht="32.1" customHeight="1">
      <c r="A319" s="5" t="s">
        <v>36</v>
      </c>
      <c r="B319" s="5" t="s">
        <v>11</v>
      </c>
      <c r="C319" s="4" t="s">
        <v>479</v>
      </c>
      <c r="D319" s="4" t="s">
        <v>210</v>
      </c>
      <c r="E319" s="6">
        <v>65</v>
      </c>
      <c r="F319" s="4" t="s">
        <v>56</v>
      </c>
      <c r="G319" s="4" t="s">
        <v>1335</v>
      </c>
      <c r="H319" s="4" t="s">
        <v>1336</v>
      </c>
      <c r="I319" s="5" t="str">
        <f>HYPERLINK("https://search.naver.com/search.naver?where=blog&amp;query=%ED%83%9C%ED%8F%89%EC%86%8C%EA%B5%AD%EB%B0%A5+%EC%84%9C%EA%B5%AC","블로그 보기")</f>
        <v>블로그 보기</v>
      </c>
      <c r="J319" s="5"/>
      <c r="K319" s="5"/>
      <c r="L319" s="4"/>
      <c r="M319" s="7">
        <v>46222</v>
      </c>
      <c r="N319" s="8">
        <v>100</v>
      </c>
      <c r="O319" s="8">
        <v>98</v>
      </c>
      <c r="P319" s="8">
        <v>3227</v>
      </c>
      <c r="Q319" s="8">
        <v>3</v>
      </c>
      <c r="R319" s="8">
        <v>1</v>
      </c>
      <c r="S319" s="4" t="s">
        <v>1324</v>
      </c>
      <c r="T319" s="9">
        <v>36.349722300000003</v>
      </c>
      <c r="U319" s="9">
        <v>127.36803209999999</v>
      </c>
    </row>
    <row r="320" spans="1:21" ht="32.1" customHeight="1">
      <c r="A320" s="5" t="s">
        <v>36</v>
      </c>
      <c r="B320" s="5" t="s">
        <v>11</v>
      </c>
      <c r="C320" s="4" t="s">
        <v>1337</v>
      </c>
      <c r="D320" s="4" t="s">
        <v>248</v>
      </c>
      <c r="E320" s="6">
        <v>64</v>
      </c>
      <c r="F320" s="4" t="s">
        <v>97</v>
      </c>
      <c r="G320" s="4" t="s">
        <v>1338</v>
      </c>
      <c r="H320" s="4" t="s">
        <v>1339</v>
      </c>
      <c r="I320" s="5" t="str">
        <f>HYPERLINK("https://search.naver.com/search.naver?where=blog&amp;query=%EB%96%A1%EB%B0%98%EC%A7%91+%EB%B3%B8%EC%A0%90+%EC%84%9C%EA%B5%AC","블로그 보기")</f>
        <v>블로그 보기</v>
      </c>
      <c r="J320" s="5"/>
      <c r="K320" s="5"/>
      <c r="L320" s="4"/>
      <c r="M320" s="7">
        <v>46223</v>
      </c>
      <c r="N320" s="8">
        <v>100</v>
      </c>
      <c r="O320" s="8">
        <v>96</v>
      </c>
      <c r="P320" s="8">
        <v>666</v>
      </c>
      <c r="Q320" s="8">
        <v>2</v>
      </c>
      <c r="R320" s="8">
        <v>1</v>
      </c>
      <c r="S320" s="4" t="s">
        <v>1340</v>
      </c>
      <c r="T320" s="9">
        <v>36.3522508</v>
      </c>
      <c r="U320" s="9">
        <v>127.37498650000001</v>
      </c>
    </row>
    <row r="321" spans="1:21" ht="32.1" customHeight="1">
      <c r="A321" s="5" t="s">
        <v>36</v>
      </c>
      <c r="B321" s="5" t="s">
        <v>11</v>
      </c>
      <c r="C321" s="4" t="s">
        <v>1341</v>
      </c>
      <c r="D321" s="4" t="s">
        <v>44</v>
      </c>
      <c r="E321" s="6">
        <v>64</v>
      </c>
      <c r="F321" s="4" t="s">
        <v>97</v>
      </c>
      <c r="G321" s="4" t="s">
        <v>1342</v>
      </c>
      <c r="H321" s="4" t="s">
        <v>1343</v>
      </c>
      <c r="I321" s="5" t="str">
        <f>HYPERLINK("https://search.naver.com/search.naver?where=blog&amp;query=%EC%82%AC%EB%A6%AC%EC%9B%90+%EB%B3%B8%EC%A0%90+%EC%84%9C%EA%B5%AC","블로그 보기")</f>
        <v>블로그 보기</v>
      </c>
      <c r="J321" s="5" t="str">
        <f>HYPERLINK("http://www.sariwonkorea.com","업체 보기")</f>
        <v>업체 보기</v>
      </c>
      <c r="K321" s="5"/>
      <c r="L321" s="4"/>
      <c r="M321" s="7">
        <v>46222</v>
      </c>
      <c r="N321" s="8">
        <v>100</v>
      </c>
      <c r="O321" s="8">
        <v>83</v>
      </c>
      <c r="P321" s="8">
        <v>688</v>
      </c>
      <c r="Q321" s="8">
        <v>2</v>
      </c>
      <c r="R321" s="8">
        <v>1</v>
      </c>
      <c r="S321" s="4" t="s">
        <v>1344</v>
      </c>
      <c r="T321" s="9">
        <v>36.355356200000003</v>
      </c>
      <c r="U321" s="9">
        <v>127.3773137</v>
      </c>
    </row>
    <row r="322" spans="1:21" ht="32.1" customHeight="1">
      <c r="A322" s="5" t="s">
        <v>36</v>
      </c>
      <c r="B322" s="5" t="s">
        <v>11</v>
      </c>
      <c r="C322" s="4" t="s">
        <v>1345</v>
      </c>
      <c r="D322" s="4" t="s">
        <v>484</v>
      </c>
      <c r="E322" s="6">
        <v>63</v>
      </c>
      <c r="F322" s="4" t="s">
        <v>1346</v>
      </c>
      <c r="G322" s="4" t="s">
        <v>1347</v>
      </c>
      <c r="H322" s="4" t="s">
        <v>1348</v>
      </c>
      <c r="I322" s="5" t="str">
        <f>HYPERLINK("https://search.naver.com/search.naver?where=blog&amp;query=%EA%B8%80%EB%A1%9C%EB%B2%8C%EC%82%B4%EC%88%98+%EC%84%9C%EA%B5%AC","블로그 보기")</f>
        <v>블로그 보기</v>
      </c>
      <c r="J322" s="5"/>
      <c r="K322" s="5"/>
      <c r="L322" s="4"/>
      <c r="M322" s="7">
        <v>46220</v>
      </c>
      <c r="N322" s="8">
        <v>70</v>
      </c>
      <c r="O322" s="8">
        <v>88</v>
      </c>
      <c r="P322" s="8">
        <v>415</v>
      </c>
      <c r="Q322" s="8">
        <v>2</v>
      </c>
      <c r="R322" s="8">
        <v>1</v>
      </c>
      <c r="S322" s="4" t="s">
        <v>1349</v>
      </c>
      <c r="T322" s="9">
        <v>36.354535800000001</v>
      </c>
      <c r="U322" s="9">
        <v>127.357663</v>
      </c>
    </row>
    <row r="323" spans="1:21" ht="32.1" customHeight="1">
      <c r="A323" s="5" t="s">
        <v>36</v>
      </c>
      <c r="B323" s="5" t="s">
        <v>11</v>
      </c>
      <c r="C323" s="4" t="s">
        <v>1350</v>
      </c>
      <c r="D323" s="4" t="s">
        <v>38</v>
      </c>
      <c r="E323" s="6">
        <v>62</v>
      </c>
      <c r="F323" s="4" t="s">
        <v>1351</v>
      </c>
      <c r="G323" s="4" t="s">
        <v>1352</v>
      </c>
      <c r="H323" s="4" t="s">
        <v>1353</v>
      </c>
      <c r="I323" s="5" t="str">
        <f>HYPERLINK("https://search.naver.com/search.naver?where=blog&amp;query=%EB%91%94%EC%82%B0%EA%B3%B5%EC%A3%BC%EC%B9%BC%EA%B5%AD%EC%88%98+%EC%84%9C%EA%B5%AC","블로그 보기")</f>
        <v>블로그 보기</v>
      </c>
      <c r="J323" s="5"/>
      <c r="K323" s="5"/>
      <c r="L323" s="4"/>
      <c r="M323" s="7">
        <v>46216</v>
      </c>
      <c r="N323" s="8">
        <v>56</v>
      </c>
      <c r="O323" s="8">
        <v>91</v>
      </c>
      <c r="P323" s="8">
        <v>173</v>
      </c>
      <c r="Q323" s="8">
        <v>2</v>
      </c>
      <c r="R323" s="8">
        <v>1</v>
      </c>
      <c r="S323" s="4" t="s">
        <v>1354</v>
      </c>
      <c r="T323" s="9">
        <v>36.3553</v>
      </c>
      <c r="U323" s="9">
        <v>127.3781292</v>
      </c>
    </row>
    <row r="324" spans="1:21" ht="32.1" customHeight="1">
      <c r="A324" s="5" t="s">
        <v>36</v>
      </c>
      <c r="B324" s="5" t="s">
        <v>11</v>
      </c>
      <c r="C324" s="4" t="s">
        <v>349</v>
      </c>
      <c r="D324" s="4" t="s">
        <v>38</v>
      </c>
      <c r="E324" s="6">
        <v>62</v>
      </c>
      <c r="F324" s="4" t="s">
        <v>160</v>
      </c>
      <c r="G324" s="4" t="s">
        <v>1355</v>
      </c>
      <c r="H324" s="4" t="s">
        <v>1356</v>
      </c>
      <c r="I324" s="5" t="str">
        <f>HYPERLINK("https://search.naver.com/search.naver?where=blog&amp;query=%EC%9A%B0%EB%A6%AC%EC%86%90%EC%B9%BC%EA%B5%AD%EC%88%98+%EC%84%9C%EA%B5%AC","블로그 보기")</f>
        <v>블로그 보기</v>
      </c>
      <c r="J324" s="5"/>
      <c r="K324" s="5"/>
      <c r="L324" s="4"/>
      <c r="M324" s="7">
        <v>46197</v>
      </c>
      <c r="N324" s="8">
        <v>22</v>
      </c>
      <c r="O324" s="8">
        <v>93</v>
      </c>
      <c r="P324" s="8">
        <v>108</v>
      </c>
      <c r="Q324" s="8">
        <v>2</v>
      </c>
      <c r="R324" s="8">
        <v>1</v>
      </c>
      <c r="S324" s="4" t="s">
        <v>1354</v>
      </c>
      <c r="T324" s="9">
        <v>36.349710299999998</v>
      </c>
      <c r="U324" s="9">
        <v>127.37842000000001</v>
      </c>
    </row>
    <row r="325" spans="1:21" ht="32.1" customHeight="1">
      <c r="A325" s="5" t="s">
        <v>36</v>
      </c>
      <c r="B325" s="5" t="s">
        <v>11</v>
      </c>
      <c r="C325" s="4" t="s">
        <v>1357</v>
      </c>
      <c r="D325" s="4" t="s">
        <v>762</v>
      </c>
      <c r="E325" s="6">
        <v>62</v>
      </c>
      <c r="F325" s="4" t="s">
        <v>45</v>
      </c>
      <c r="G325" s="4" t="s">
        <v>1358</v>
      </c>
      <c r="H325" s="4" t="s">
        <v>1359</v>
      </c>
      <c r="I325" s="5" t="str">
        <f>HYPERLINK("https://search.naver.com/search.naver?where=blog&amp;query=%EC%9D%B4%ED%83%9C%EB%A6%AC%EA%B5%AD%EC%8B%9C+%EB%8C%80%EC%A0%84+%EC%84%9C%EA%B5%AC","블로그 보기")</f>
        <v>블로그 보기</v>
      </c>
      <c r="J325" s="5" t="str">
        <f>HYPERLINK("https://www.instagram.com/italyguksi","업체 보기")</f>
        <v>업체 보기</v>
      </c>
      <c r="K325" s="5"/>
      <c r="L325" s="4"/>
      <c r="M325" s="7">
        <v>46220</v>
      </c>
      <c r="N325" s="8">
        <v>100</v>
      </c>
      <c r="O325" s="8">
        <v>97</v>
      </c>
      <c r="P325" s="8">
        <v>2928</v>
      </c>
      <c r="Q325" s="8">
        <v>1</v>
      </c>
      <c r="R325" s="8">
        <v>1</v>
      </c>
      <c r="S325" s="4" t="s">
        <v>1360</v>
      </c>
      <c r="T325" s="9">
        <v>36.353134799999999</v>
      </c>
      <c r="U325" s="9">
        <v>127.3772877</v>
      </c>
    </row>
    <row r="326" spans="1:21" ht="32.1" customHeight="1">
      <c r="A326" s="5" t="s">
        <v>36</v>
      </c>
      <c r="B326" s="5" t="s">
        <v>11</v>
      </c>
      <c r="C326" s="4" t="s">
        <v>1361</v>
      </c>
      <c r="D326" s="4" t="s">
        <v>38</v>
      </c>
      <c r="E326" s="6">
        <v>62</v>
      </c>
      <c r="F326" s="4" t="s">
        <v>1362</v>
      </c>
      <c r="G326" s="4" t="s">
        <v>1363</v>
      </c>
      <c r="H326" s="4" t="s">
        <v>1364</v>
      </c>
      <c r="I326" s="5" t="str">
        <f>HYPERLINK("https://search.naver.com/search.naver?where=blog&amp;query=%ED%99%8D%EB%91%90%EA%B9%A8%EC%83%9D%EC%B9%BC%EA%B5%AD%EC%88%98+%EC%84%9C%EA%B5%AC","블로그 보기")</f>
        <v>블로그 보기</v>
      </c>
      <c r="J326" s="5"/>
      <c r="K326" s="5"/>
      <c r="L326" s="4"/>
      <c r="M326" s="7">
        <v>46186</v>
      </c>
      <c r="N326" s="8">
        <v>6</v>
      </c>
      <c r="O326" s="8">
        <v>54</v>
      </c>
      <c r="P326" s="8">
        <v>57</v>
      </c>
      <c r="Q326" s="8">
        <v>3</v>
      </c>
      <c r="R326" s="8">
        <v>1</v>
      </c>
      <c r="S326" s="4" t="s">
        <v>1300</v>
      </c>
      <c r="T326" s="9">
        <v>36.340102700000003</v>
      </c>
      <c r="U326" s="9">
        <v>127.3661118</v>
      </c>
    </row>
    <row r="327" spans="1:21" ht="32.1" customHeight="1">
      <c r="A327" s="5" t="s">
        <v>36</v>
      </c>
      <c r="B327" s="5" t="s">
        <v>11</v>
      </c>
      <c r="C327" s="4" t="s">
        <v>1365</v>
      </c>
      <c r="D327" s="4" t="s">
        <v>231</v>
      </c>
      <c r="E327" s="6">
        <v>61</v>
      </c>
      <c r="F327" s="4" t="s">
        <v>45</v>
      </c>
      <c r="G327" s="4" t="s">
        <v>1366</v>
      </c>
      <c r="H327" s="4" t="s">
        <v>1367</v>
      </c>
      <c r="I327" s="5" t="str">
        <f>HYPERLINK("https://search.naver.com/search.naver?where=blog&amp;query=%EA%B3%A0%EA%B9%83%EB%A6%AC88%EB%B2%88%EC%A7%80+%EB%8C%80%EC%A0%84%EB%91%94%EC%82%B0%EC%A0%90+%EC%84%9C%EA%B5%AC","블로그 보기")</f>
        <v>블로그 보기</v>
      </c>
      <c r="J327" s="5"/>
      <c r="K327" s="5"/>
      <c r="L327" s="4"/>
      <c r="M327" s="7">
        <v>46218</v>
      </c>
      <c r="N327" s="8">
        <v>100</v>
      </c>
      <c r="O327" s="8">
        <v>99</v>
      </c>
      <c r="P327" s="8">
        <v>1826</v>
      </c>
      <c r="Q327" s="8">
        <v>1</v>
      </c>
      <c r="R327" s="8">
        <v>1</v>
      </c>
      <c r="S327" s="4" t="s">
        <v>1344</v>
      </c>
      <c r="T327" s="9">
        <v>36.351091500000003</v>
      </c>
      <c r="U327" s="9">
        <v>127.3742405</v>
      </c>
    </row>
    <row r="328" spans="1:21" ht="32.1" customHeight="1">
      <c r="A328" s="5" t="s">
        <v>36</v>
      </c>
      <c r="B328" s="5" t="s">
        <v>11</v>
      </c>
      <c r="C328" s="4" t="s">
        <v>1368</v>
      </c>
      <c r="D328" s="4" t="s">
        <v>50</v>
      </c>
      <c r="E328" s="6">
        <v>61</v>
      </c>
      <c r="F328" s="4" t="s">
        <v>1369</v>
      </c>
      <c r="G328" s="4" t="s">
        <v>1370</v>
      </c>
      <c r="H328" s="4" t="s">
        <v>1371</v>
      </c>
      <c r="I328" s="5" t="str">
        <f>HYPERLINK("https://search.naver.com/search.naver?where=blog&amp;query=%EA%B3%B5%EC%A3%BC%EC%B9%BC%EA%B5%AD%EC%88%98%EC%AD%88%EA%BE%B8%EB%AF%B8%EA%B5%AC%EC%9D%B4+%EB%91%94%EC%82%B0%EC%A0%90+%EC%84%9C%EA%B5%AC","블로그 보기")</f>
        <v>블로그 보기</v>
      </c>
      <c r="J328" s="5"/>
      <c r="K328" s="5"/>
      <c r="L328" s="4"/>
      <c r="M328" s="7">
        <v>46207</v>
      </c>
      <c r="N328" s="8">
        <v>25</v>
      </c>
      <c r="O328" s="8">
        <v>31</v>
      </c>
      <c r="P328" s="8">
        <v>60</v>
      </c>
      <c r="Q328" s="8">
        <v>2</v>
      </c>
      <c r="R328" s="8">
        <v>1</v>
      </c>
      <c r="S328" s="4" t="s">
        <v>1354</v>
      </c>
      <c r="T328" s="9">
        <v>36.359453999999999</v>
      </c>
      <c r="U328" s="9">
        <v>127.3889727</v>
      </c>
    </row>
    <row r="329" spans="1:21" ht="32.1" customHeight="1">
      <c r="A329" s="5" t="s">
        <v>36</v>
      </c>
      <c r="B329" s="5" t="s">
        <v>11</v>
      </c>
      <c r="C329" s="4" t="s">
        <v>1372</v>
      </c>
      <c r="D329" s="4" t="s">
        <v>381</v>
      </c>
      <c r="E329" s="6">
        <v>61</v>
      </c>
      <c r="F329" s="4" t="s">
        <v>1373</v>
      </c>
      <c r="G329" s="4" t="s">
        <v>1374</v>
      </c>
      <c r="H329" s="4" t="s">
        <v>1375</v>
      </c>
      <c r="I329" s="5" t="str">
        <f>HYPERLINK("https://search.naver.com/search.naver?where=blog&amp;query=%EB%8D%B0%ED%8C%90%EC%9C%A0%EC%9A%B0+%EC%84%9C%EA%B5%AC","블로그 보기")</f>
        <v>블로그 보기</v>
      </c>
      <c r="J329" s="5" t="str">
        <f>HYPERLINK("https://www.instagram.com/deppan_youu?igsh=b3pjbHJrc3hjcDQ5","업체 보기")</f>
        <v>업체 보기</v>
      </c>
      <c r="K329" s="5"/>
      <c r="L329" s="4"/>
      <c r="M329" s="7">
        <v>46219</v>
      </c>
      <c r="N329" s="8">
        <v>49</v>
      </c>
      <c r="O329" s="8">
        <v>100</v>
      </c>
      <c r="P329" s="8">
        <v>2425</v>
      </c>
      <c r="Q329" s="8">
        <v>2</v>
      </c>
      <c r="R329" s="8">
        <v>1</v>
      </c>
      <c r="S329" s="4" t="s">
        <v>1376</v>
      </c>
      <c r="T329" s="9">
        <v>36.3509028</v>
      </c>
      <c r="U329" s="9">
        <v>127.37463839999999</v>
      </c>
    </row>
    <row r="330" spans="1:21" ht="32.1" customHeight="1">
      <c r="A330" s="5" t="s">
        <v>36</v>
      </c>
      <c r="B330" s="5" t="s">
        <v>11</v>
      </c>
      <c r="C330" s="4" t="s">
        <v>1377</v>
      </c>
      <c r="D330" s="4" t="s">
        <v>1378</v>
      </c>
      <c r="E330" s="6">
        <v>61</v>
      </c>
      <c r="F330" s="4" t="s">
        <v>56</v>
      </c>
      <c r="G330" s="4" t="s">
        <v>1379</v>
      </c>
      <c r="H330" s="4" t="s">
        <v>1380</v>
      </c>
      <c r="I330" s="5" t="str">
        <f>HYPERLINK("https://search.naver.com/search.naver?where=blog&amp;query=%EB%91%90%EB%B6%80%EC%82%AC%EB%9E%91+%EC%84%9C%EA%B5%AC","블로그 보기")</f>
        <v>블로그 보기</v>
      </c>
      <c r="J330" s="5"/>
      <c r="K330" s="5"/>
      <c r="L330" s="4"/>
      <c r="M330" s="7">
        <v>46223</v>
      </c>
      <c r="N330" s="8">
        <v>100</v>
      </c>
      <c r="O330" s="8">
        <v>91</v>
      </c>
      <c r="P330" s="8">
        <v>13303</v>
      </c>
      <c r="Q330" s="8">
        <v>2</v>
      </c>
      <c r="R330" s="8">
        <v>1</v>
      </c>
      <c r="S330" s="4" t="s">
        <v>1381</v>
      </c>
      <c r="T330" s="9">
        <v>36.339865000000003</v>
      </c>
      <c r="U330" s="9">
        <v>127.3661013</v>
      </c>
    </row>
    <row r="331" spans="1:21" ht="32.1" customHeight="1">
      <c r="A331" s="5" t="s">
        <v>36</v>
      </c>
      <c r="B331" s="5" t="s">
        <v>11</v>
      </c>
      <c r="C331" s="4" t="s">
        <v>1382</v>
      </c>
      <c r="D331" s="4" t="s">
        <v>170</v>
      </c>
      <c r="E331" s="6">
        <v>61</v>
      </c>
      <c r="F331" s="4" t="s">
        <v>775</v>
      </c>
      <c r="G331" s="4" t="s">
        <v>1383</v>
      </c>
      <c r="H331" s="4" t="s">
        <v>1384</v>
      </c>
      <c r="I331" s="5" t="str">
        <f>HYPERLINK("https://search.naver.com/search.naver?where=blog&amp;query=%EC%84%9C%EC%9A%B8%EA%B9%8D%EB%91%90%EA%B8%B0+%EB%8C%80%EC%A0%84%EC%8B%9C%EC%B2%AD%EC%A0%90+%EC%84%9C%EA%B5%AC","블로그 보기")</f>
        <v>블로그 보기</v>
      </c>
      <c r="J331" s="5" t="str">
        <f>HYPERLINK("http://seoggag.com","업체 보기")</f>
        <v>업체 보기</v>
      </c>
      <c r="K331" s="5"/>
      <c r="L331" s="4"/>
      <c r="M331" s="7">
        <v>46161</v>
      </c>
      <c r="N331" s="8">
        <v>24</v>
      </c>
      <c r="O331" s="8">
        <v>51</v>
      </c>
      <c r="P331" s="8">
        <v>61</v>
      </c>
      <c r="Q331" s="8">
        <v>2</v>
      </c>
      <c r="R331" s="8">
        <v>1</v>
      </c>
      <c r="S331" s="4" t="s">
        <v>1312</v>
      </c>
      <c r="T331" s="9">
        <v>36.3511107</v>
      </c>
      <c r="U331" s="9">
        <v>127.3878529</v>
      </c>
    </row>
    <row r="332" spans="1:21" ht="32.1" customHeight="1">
      <c r="A332" s="5" t="s">
        <v>36</v>
      </c>
      <c r="B332" s="5" t="s">
        <v>11</v>
      </c>
      <c r="C332" s="4" t="s">
        <v>1385</v>
      </c>
      <c r="D332" s="4" t="s">
        <v>1000</v>
      </c>
      <c r="E332" s="6">
        <v>61</v>
      </c>
      <c r="F332" s="4" t="s">
        <v>56</v>
      </c>
      <c r="G332" s="4" t="s">
        <v>1386</v>
      </c>
      <c r="H332" s="4" t="s">
        <v>1387</v>
      </c>
      <c r="I332" s="5" t="str">
        <f>HYPERLINK("https://search.naver.com/search.naver?where=blog&amp;query=%EC%98%A5%EC%B2%9C%EB%BC%88%EA%B5%AC%EC%9D%B4+%EB%86%8D%EB%AF%BC%EB%9C%A8%EB%81%88%EC%9D%B4+%EA%B0%88%EB%A7%88%EC%A0%90+%EC%84%9C%EA%B5%AC","블로그 보기")</f>
        <v>블로그 보기</v>
      </c>
      <c r="J332" s="5"/>
      <c r="K332" s="5"/>
      <c r="L332" s="4"/>
      <c r="M332" s="7">
        <v>46223</v>
      </c>
      <c r="N332" s="8">
        <v>100</v>
      </c>
      <c r="O332" s="8">
        <v>100</v>
      </c>
      <c r="P332" s="8">
        <v>3535</v>
      </c>
      <c r="Q332" s="8">
        <v>2</v>
      </c>
      <c r="R332" s="8">
        <v>1</v>
      </c>
      <c r="S332" s="4" t="s">
        <v>1388</v>
      </c>
      <c r="T332" s="9">
        <v>36.349228500000002</v>
      </c>
      <c r="U332" s="9">
        <v>127.3694948</v>
      </c>
    </row>
    <row r="333" spans="1:21" ht="32.1" customHeight="1">
      <c r="A333" s="5" t="s">
        <v>36</v>
      </c>
      <c r="B333" s="5" t="s">
        <v>11</v>
      </c>
      <c r="C333" s="4" t="s">
        <v>1389</v>
      </c>
      <c r="D333" s="4" t="s">
        <v>220</v>
      </c>
      <c r="E333" s="6">
        <v>61</v>
      </c>
      <c r="F333" s="4" t="s">
        <v>45</v>
      </c>
      <c r="G333" s="4" t="s">
        <v>1390</v>
      </c>
      <c r="H333" s="4" t="s">
        <v>1391</v>
      </c>
      <c r="I333" s="5" t="str">
        <f>HYPERLINK("https://search.naver.com/search.naver?where=blog&amp;query=%ED%82%A4%EC%B8%A0%EB%84%A4%EC%9C%A0%EB%B6%80+%EB%8C%80%EC%A0%84%EB%91%94%EC%82%B0%EC%A0%90+%EC%84%9C%EA%B5%AC","블로그 보기")</f>
        <v>블로그 보기</v>
      </c>
      <c r="J333" s="5" t="str">
        <f>HYPERLINK("https://www.instagram.com/kitz_yubu","업체 보기")</f>
        <v>업체 보기</v>
      </c>
      <c r="K333" s="5"/>
      <c r="L333" s="4"/>
      <c r="M333" s="7">
        <v>46223</v>
      </c>
      <c r="N333" s="8">
        <v>100</v>
      </c>
      <c r="O333" s="8">
        <v>81</v>
      </c>
      <c r="P333" s="8">
        <v>1641</v>
      </c>
      <c r="Q333" s="8">
        <v>1</v>
      </c>
      <c r="R333" s="8">
        <v>1</v>
      </c>
      <c r="S333" s="4" t="s">
        <v>1392</v>
      </c>
      <c r="T333" s="9">
        <v>36.3508639</v>
      </c>
      <c r="U333" s="9">
        <v>127.3881196</v>
      </c>
    </row>
    <row r="334" spans="1:21" ht="32.1" customHeight="1">
      <c r="A334" s="5" t="s">
        <v>36</v>
      </c>
      <c r="B334" s="5" t="s">
        <v>11</v>
      </c>
      <c r="C334" s="4" t="s">
        <v>479</v>
      </c>
      <c r="D334" s="4" t="s">
        <v>210</v>
      </c>
      <c r="E334" s="6">
        <v>61</v>
      </c>
      <c r="F334" s="4" t="s">
        <v>56</v>
      </c>
      <c r="G334" s="4" t="s">
        <v>1393</v>
      </c>
      <c r="H334" s="4" t="s">
        <v>1394</v>
      </c>
      <c r="I334" s="5" t="str">
        <f>HYPERLINK("https://search.naver.com/search.naver?where=blog&amp;query=%ED%83%9C%ED%8F%89%EC%86%8C%EA%B5%AD%EB%B0%A5+%EC%84%9C%EA%B5%AC","블로그 보기")</f>
        <v>블로그 보기</v>
      </c>
      <c r="J334" s="5" t="str">
        <f>HYPERLINK("https://smartstore.naver.com/mcfdts","업체 보기")</f>
        <v>업체 보기</v>
      </c>
      <c r="K334" s="5"/>
      <c r="L334" s="4"/>
      <c r="M334" s="7">
        <v>46222</v>
      </c>
      <c r="N334" s="8">
        <v>100</v>
      </c>
      <c r="O334" s="8">
        <v>98</v>
      </c>
      <c r="P334" s="8">
        <v>3227</v>
      </c>
      <c r="Q334" s="8">
        <v>2</v>
      </c>
      <c r="R334" s="8">
        <v>1</v>
      </c>
      <c r="S334" s="4" t="s">
        <v>1395</v>
      </c>
      <c r="T334" s="9">
        <v>36.354081899999997</v>
      </c>
      <c r="U334" s="9">
        <v>127.37788930000001</v>
      </c>
    </row>
    <row r="335" spans="1:21" ht="32.1" customHeight="1">
      <c r="A335" s="5" t="s">
        <v>36</v>
      </c>
      <c r="B335" s="5" t="s">
        <v>11</v>
      </c>
      <c r="C335" s="4" t="s">
        <v>1396</v>
      </c>
      <c r="D335" s="4" t="s">
        <v>1397</v>
      </c>
      <c r="E335" s="6">
        <v>60</v>
      </c>
      <c r="F335" s="4" t="s">
        <v>1398</v>
      </c>
      <c r="G335" s="4" t="s">
        <v>1399</v>
      </c>
      <c r="H335" s="4" t="s">
        <v>1400</v>
      </c>
      <c r="I335" s="5" t="str">
        <f>HYPERLINK("https://search.naver.com/search.naver?where=blog&amp;query=%EA%B3%A0%EC%A7%91%EB%B6%88%ED%86%B5%EC%8B%A0%EB%8B%AD%EB%B0%9C+%EB%B3%B8%EC%A0%90+%EC%84%9C%EA%B5%AC","블로그 보기")</f>
        <v>블로그 보기</v>
      </c>
      <c r="J335" s="5" t="str">
        <f>HYPERLINK("https://www.instagram.com/gojib2222222v","업체 보기")</f>
        <v>업체 보기</v>
      </c>
      <c r="K335" s="5"/>
      <c r="L335" s="4"/>
      <c r="M335" s="7">
        <v>46213</v>
      </c>
      <c r="N335" s="8">
        <v>30</v>
      </c>
      <c r="O335" s="8">
        <v>42</v>
      </c>
      <c r="P335" s="8">
        <v>44</v>
      </c>
      <c r="Q335" s="8">
        <v>2</v>
      </c>
      <c r="R335" s="8">
        <v>1</v>
      </c>
      <c r="S335" s="4" t="s">
        <v>1316</v>
      </c>
      <c r="T335" s="9">
        <v>36.350816899999998</v>
      </c>
      <c r="U335" s="9">
        <v>127.3977196</v>
      </c>
    </row>
    <row r="336" spans="1:21" ht="32.1" customHeight="1">
      <c r="A336" s="5" t="s">
        <v>36</v>
      </c>
      <c r="B336" s="5" t="s">
        <v>11</v>
      </c>
      <c r="C336" s="4" t="s">
        <v>1401</v>
      </c>
      <c r="D336" s="4" t="s">
        <v>1402</v>
      </c>
      <c r="E336" s="6">
        <v>60</v>
      </c>
      <c r="F336" s="4" t="s">
        <v>56</v>
      </c>
      <c r="G336" s="4" t="s">
        <v>1403</v>
      </c>
      <c r="H336" s="4" t="s">
        <v>1404</v>
      </c>
      <c r="I336" s="5" t="str">
        <f>HYPERLINK("https://search.naver.com/search.naver?where=blog&amp;query=%EA%B4%91%EC%9E%A5%ED%8F%AC%EC%B0%A8+%EC%84%9C%EA%B5%AC","블로그 보기")</f>
        <v>블로그 보기</v>
      </c>
      <c r="J336" s="5" t="str">
        <f>HYPERLINK("https://www.instagram.com/reel/Czv5FXBRDzf/?igshid=MzRlODBiNWFlZA==","업체 보기")</f>
        <v>업체 보기</v>
      </c>
      <c r="K336" s="5"/>
      <c r="L336" s="4"/>
      <c r="M336" s="7">
        <v>46223</v>
      </c>
      <c r="N336" s="8">
        <v>100</v>
      </c>
      <c r="O336" s="8">
        <v>95</v>
      </c>
      <c r="P336" s="8">
        <v>1678</v>
      </c>
      <c r="Q336" s="8">
        <v>2</v>
      </c>
      <c r="R336" s="8">
        <v>1</v>
      </c>
      <c r="S336" s="4" t="s">
        <v>1316</v>
      </c>
      <c r="T336" s="9">
        <v>36.350213199999999</v>
      </c>
      <c r="U336" s="9">
        <v>127.3761421</v>
      </c>
    </row>
    <row r="337" spans="1:21" ht="32.1" customHeight="1">
      <c r="A337" s="5" t="s">
        <v>36</v>
      </c>
      <c r="B337" s="5" t="s">
        <v>11</v>
      </c>
      <c r="C337" s="4" t="s">
        <v>1405</v>
      </c>
      <c r="D337" s="4" t="s">
        <v>181</v>
      </c>
      <c r="E337" s="6">
        <v>60</v>
      </c>
      <c r="F337" s="4" t="s">
        <v>45</v>
      </c>
      <c r="G337" s="4" t="s">
        <v>1406</v>
      </c>
      <c r="H337" s="4" t="s">
        <v>1407</v>
      </c>
      <c r="I337" s="5" t="str">
        <f>HYPERLINK("https://search.naver.com/search.naver?where=blog&amp;query=%EB%B3%B4%EB%B0%B0%EB%B0%98%EC%A0%90+%EB%8C%80%EC%A0%84%EB%91%94%EC%82%B0%EC%A0%90+%EC%84%9C%EA%B5%AC","블로그 보기")</f>
        <v>블로그 보기</v>
      </c>
      <c r="J337" s="5" t="str">
        <f>HYPERLINK("https://www.instagram.com/bobae_dunsan","업체 보기")</f>
        <v>업체 보기</v>
      </c>
      <c r="K337" s="5"/>
      <c r="L337" s="4"/>
      <c r="M337" s="7">
        <v>46223</v>
      </c>
      <c r="N337" s="8">
        <v>100</v>
      </c>
      <c r="O337" s="8">
        <v>95</v>
      </c>
      <c r="P337" s="8">
        <v>482</v>
      </c>
      <c r="Q337" s="8">
        <v>1</v>
      </c>
      <c r="R337" s="8">
        <v>1</v>
      </c>
      <c r="S337" s="4" t="s">
        <v>1408</v>
      </c>
      <c r="T337" s="9">
        <v>36.350078400000001</v>
      </c>
      <c r="U337" s="9">
        <v>127.38939809999999</v>
      </c>
    </row>
    <row r="338" spans="1:21" ht="32.1" customHeight="1">
      <c r="A338" s="5" t="s">
        <v>36</v>
      </c>
      <c r="B338" s="5" t="s">
        <v>11</v>
      </c>
      <c r="C338" s="4" t="s">
        <v>1409</v>
      </c>
      <c r="D338" s="4" t="s">
        <v>71</v>
      </c>
      <c r="E338" s="6">
        <v>60</v>
      </c>
      <c r="F338" s="4" t="s">
        <v>45</v>
      </c>
      <c r="G338" s="4" t="s">
        <v>1410</v>
      </c>
      <c r="H338" s="4" t="s">
        <v>1411</v>
      </c>
      <c r="I338" s="5" t="str">
        <f>HYPERLINK("https://search.naver.com/search.naver?where=blog&amp;query=%EC%95%9E%EC%82%B0%ED%81%B0%EA%B3%A8%EC%A7%91+%EB%8C%80%EC%A0%84%EB%91%94%EC%82%B0%EC%A0%90+%EC%84%9C%EA%B5%AC","블로그 보기")</f>
        <v>블로그 보기</v>
      </c>
      <c r="J338" s="5" t="str">
        <f>HYPERLINK("https://blog.naver.com/djkeungol","업체 보기")</f>
        <v>업체 보기</v>
      </c>
      <c r="K338" s="5"/>
      <c r="L338" s="4"/>
      <c r="M338" s="7">
        <v>46223</v>
      </c>
      <c r="N338" s="8">
        <v>100</v>
      </c>
      <c r="O338" s="8">
        <v>100</v>
      </c>
      <c r="P338" s="8">
        <v>258</v>
      </c>
      <c r="Q338" s="8">
        <v>2</v>
      </c>
      <c r="R338" s="8">
        <v>0</v>
      </c>
      <c r="S338" s="4" t="s">
        <v>1412</v>
      </c>
      <c r="T338" s="9">
        <v>36.350997300000003</v>
      </c>
      <c r="U338" s="9">
        <v>127.3818934</v>
      </c>
    </row>
    <row r="339" spans="1:21" ht="32.1" customHeight="1">
      <c r="A339" s="5" t="s">
        <v>36</v>
      </c>
      <c r="B339" s="5" t="s">
        <v>11</v>
      </c>
      <c r="C339" s="4" t="s">
        <v>1413</v>
      </c>
      <c r="D339" s="4" t="s">
        <v>71</v>
      </c>
      <c r="E339" s="6">
        <v>60</v>
      </c>
      <c r="F339" s="4" t="s">
        <v>56</v>
      </c>
      <c r="G339" s="4" t="s">
        <v>1414</v>
      </c>
      <c r="H339" s="4" t="s">
        <v>1415</v>
      </c>
      <c r="I339" s="5" t="str">
        <f>HYPERLINK("https://search.naver.com/search.naver?where=blog&amp;query=%ED%86%B5%ED%86%B5%EC%8B%9D%EB%8B%B9+%EC%84%9C%EA%B5%AC","블로그 보기")</f>
        <v>블로그 보기</v>
      </c>
      <c r="J339" s="5"/>
      <c r="K339" s="5"/>
      <c r="L339" s="4"/>
      <c r="M339" s="7">
        <v>46223</v>
      </c>
      <c r="N339" s="8">
        <v>100</v>
      </c>
      <c r="O339" s="8">
        <v>95</v>
      </c>
      <c r="P339" s="8">
        <v>1669</v>
      </c>
      <c r="Q339" s="8">
        <v>2</v>
      </c>
      <c r="R339" s="8">
        <v>1</v>
      </c>
      <c r="S339" s="4" t="s">
        <v>1330</v>
      </c>
      <c r="T339" s="9">
        <v>36.354878599999999</v>
      </c>
      <c r="U339" s="9">
        <v>127.3680504</v>
      </c>
    </row>
    <row r="340" spans="1:21" ht="32.1" customHeight="1">
      <c r="A340" s="5" t="s">
        <v>36</v>
      </c>
      <c r="B340" s="5" t="s">
        <v>11</v>
      </c>
      <c r="C340" s="4" t="s">
        <v>1416</v>
      </c>
      <c r="D340" s="4" t="s">
        <v>231</v>
      </c>
      <c r="E340" s="6">
        <v>59</v>
      </c>
      <c r="F340" s="4" t="s">
        <v>56</v>
      </c>
      <c r="G340" s="4" t="s">
        <v>1417</v>
      </c>
      <c r="H340" s="4" t="s">
        <v>1418</v>
      </c>
      <c r="I340" s="5" t="str">
        <f>HYPERLINK("https://search.naver.com/search.naver?where=blog&amp;query=%EA%B0%88%EB%A7%88%EB%8F%99%EA%B9%80%ED%95%9C%EB%8F%88+%EA%B0%88%EB%A7%88%EB%8F%99","블로그 보기")</f>
        <v>블로그 보기</v>
      </c>
      <c r="J340" s="5" t="str">
        <f>HYPERLINK("https://www.instagram.com/kimhandon","업체 보기")</f>
        <v>업체 보기</v>
      </c>
      <c r="K340" s="5"/>
      <c r="L340" s="4"/>
      <c r="M340" s="7">
        <v>46174</v>
      </c>
      <c r="N340" s="8">
        <v>100</v>
      </c>
      <c r="O340" s="8">
        <v>82</v>
      </c>
      <c r="P340" s="8">
        <v>980</v>
      </c>
      <c r="Q340" s="8">
        <v>2</v>
      </c>
      <c r="R340" s="8">
        <v>1</v>
      </c>
      <c r="S340" s="4" t="s">
        <v>1419</v>
      </c>
      <c r="T340" s="9">
        <v>36.346532799999999</v>
      </c>
      <c r="U340" s="9">
        <v>127.3747991</v>
      </c>
    </row>
    <row r="341" spans="1:21" ht="32.1" customHeight="1">
      <c r="A341" s="5" t="s">
        <v>36</v>
      </c>
      <c r="B341" s="5" t="s">
        <v>11</v>
      </c>
      <c r="C341" s="4" t="s">
        <v>1420</v>
      </c>
      <c r="D341" s="4" t="s">
        <v>44</v>
      </c>
      <c r="E341" s="6">
        <v>59</v>
      </c>
      <c r="F341" s="4" t="s">
        <v>443</v>
      </c>
      <c r="G341" s="4" t="s">
        <v>1421</v>
      </c>
      <c r="H341" s="4" t="s">
        <v>1422</v>
      </c>
      <c r="I341" s="5" t="str">
        <f>HYPERLINK("https://search.naver.com/search.naver?where=blog&amp;query=%EA%B0%95%EB%82%A8%EB%A9%B4%EC%98%A5+%EB%91%94%EC%82%B0%EC%A0%90+%EC%84%9C%EA%B5%AC","블로그 보기")</f>
        <v>블로그 보기</v>
      </c>
      <c r="J341" s="5"/>
      <c r="K341" s="5"/>
      <c r="L341" s="4"/>
      <c r="M341" s="7">
        <v>46216</v>
      </c>
      <c r="N341" s="8">
        <v>8</v>
      </c>
      <c r="O341" s="8">
        <v>100</v>
      </c>
      <c r="P341" s="8">
        <v>699</v>
      </c>
      <c r="Q341" s="8">
        <v>2</v>
      </c>
      <c r="R341" s="8">
        <v>1</v>
      </c>
      <c r="S341" s="4" t="s">
        <v>1344</v>
      </c>
      <c r="T341" s="9">
        <v>36.351966300000001</v>
      </c>
      <c r="U341" s="9">
        <v>127.3874957</v>
      </c>
    </row>
    <row r="342" spans="1:21" ht="32.1" customHeight="1">
      <c r="A342" s="5" t="s">
        <v>36</v>
      </c>
      <c r="B342" s="5" t="s">
        <v>11</v>
      </c>
      <c r="C342" s="4" t="s">
        <v>1423</v>
      </c>
      <c r="D342" s="4" t="s">
        <v>96</v>
      </c>
      <c r="E342" s="6">
        <v>59</v>
      </c>
      <c r="F342" s="4" t="s">
        <v>434</v>
      </c>
      <c r="G342" s="4" t="s">
        <v>1424</v>
      </c>
      <c r="H342" s="4" t="s">
        <v>1425</v>
      </c>
      <c r="I342" s="5" t="str">
        <f>HYPERLINK("https://search.naver.com/search.naver?where=blog&amp;query=%EB%A7%9B%EC%B0%AC%EB%93%A4%EC%99%95%EC%86%8C%EA%B8%88%EA%B5%AC%EC%9D%B4+%EA%B0%88%EB%A7%88%EC%A0%90+%EC%84%9C%EA%B5%AC","블로그 보기")</f>
        <v>블로그 보기</v>
      </c>
      <c r="J342" s="5" t="str">
        <f>HYPERLINK("https://app.catchtable.co.kr/ct/shop/matchandeul_galma","업체 보기")</f>
        <v>업체 보기</v>
      </c>
      <c r="K342" s="5"/>
      <c r="L342" s="4"/>
      <c r="M342" s="7">
        <v>46223</v>
      </c>
      <c r="N342" s="8">
        <v>38</v>
      </c>
      <c r="O342" s="8">
        <v>90</v>
      </c>
      <c r="P342" s="8">
        <v>95</v>
      </c>
      <c r="Q342" s="8">
        <v>2</v>
      </c>
      <c r="R342" s="8">
        <v>2</v>
      </c>
      <c r="S342" s="4" t="s">
        <v>1308</v>
      </c>
      <c r="T342" s="9">
        <v>36.350863199999999</v>
      </c>
      <c r="U342" s="9">
        <v>127.371708</v>
      </c>
    </row>
    <row r="343" spans="1:21" ht="32.1" hidden="1" customHeight="1">
      <c r="A343" s="5" t="s">
        <v>1857</v>
      </c>
      <c r="B343" s="5" t="s">
        <v>11</v>
      </c>
      <c r="C343" s="4" t="s">
        <v>1426</v>
      </c>
      <c r="D343" s="4" t="s">
        <v>141</v>
      </c>
      <c r="E343" s="6">
        <v>59</v>
      </c>
      <c r="F343" s="4" t="s">
        <v>1427</v>
      </c>
      <c r="G343" s="4" t="s">
        <v>1428</v>
      </c>
      <c r="H343" s="4" t="s">
        <v>1429</v>
      </c>
      <c r="I343" s="5" t="str">
        <f>HYPERLINK("https://search.naver.com/search.naver?where=blog&amp;query=%EB%B0%94%EB%A5%B4%EB%8B%A4%EA%B9%80%EC%84%A0%EC%83%9D+%EB%8C%80%EC%A0%84%EC%8B%9C%EC%B2%AD%EC%A0%90+%EC%84%9C%EA%B5%AC","블로그 보기")</f>
        <v>블로그 보기</v>
      </c>
      <c r="J343" s="5" t="str">
        <f>HYPERLINK("http://www.teacherkim.co.kr","업체 보기")</f>
        <v>업체 보기</v>
      </c>
      <c r="K343" s="5"/>
      <c r="L343" s="4"/>
      <c r="M343" s="7">
        <v>46211</v>
      </c>
      <c r="N343" s="8">
        <v>44</v>
      </c>
      <c r="O343" s="8">
        <v>98</v>
      </c>
      <c r="P343" s="8">
        <v>453</v>
      </c>
      <c r="Q343" s="8">
        <v>1</v>
      </c>
      <c r="R343" s="8">
        <v>1</v>
      </c>
      <c r="S343" s="4" t="s">
        <v>1340</v>
      </c>
      <c r="T343" s="9">
        <v>36.350887399999998</v>
      </c>
      <c r="U343" s="9">
        <v>127.38745830000001</v>
      </c>
    </row>
    <row r="344" spans="1:21" ht="32.1" customHeight="1">
      <c r="A344" s="5" t="s">
        <v>36</v>
      </c>
      <c r="B344" s="5" t="s">
        <v>11</v>
      </c>
      <c r="C344" s="4" t="s">
        <v>1430</v>
      </c>
      <c r="D344" s="4" t="s">
        <v>38</v>
      </c>
      <c r="E344" s="6">
        <v>59</v>
      </c>
      <c r="F344" s="4" t="s">
        <v>1431</v>
      </c>
      <c r="G344" s="4" t="s">
        <v>1432</v>
      </c>
      <c r="H344" s="4" t="s">
        <v>1433</v>
      </c>
      <c r="I344" s="5" t="str">
        <f>HYPERLINK("https://search.naver.com/search.naver?where=blog&amp;query=%EC%96%BC%EC%B9%BC+%EC%84%9C%EA%B5%AC","블로그 보기")</f>
        <v>블로그 보기</v>
      </c>
      <c r="J344" s="5"/>
      <c r="K344" s="5"/>
      <c r="L344" s="4"/>
      <c r="M344" s="7">
        <v>46222</v>
      </c>
      <c r="N344" s="8">
        <v>50</v>
      </c>
      <c r="O344" s="8">
        <v>86</v>
      </c>
      <c r="P344" s="8">
        <v>172</v>
      </c>
      <c r="Q344" s="8">
        <v>2</v>
      </c>
      <c r="R344" s="8">
        <v>0</v>
      </c>
      <c r="S344" s="4" t="s">
        <v>1300</v>
      </c>
      <c r="T344" s="9">
        <v>36.3463797</v>
      </c>
      <c r="U344" s="9">
        <v>127.3682324</v>
      </c>
    </row>
    <row r="345" spans="1:21" ht="32.1" customHeight="1">
      <c r="A345" s="5" t="s">
        <v>36</v>
      </c>
      <c r="B345" s="5" t="s">
        <v>11</v>
      </c>
      <c r="C345" s="4" t="s">
        <v>1434</v>
      </c>
      <c r="D345" s="4" t="s">
        <v>181</v>
      </c>
      <c r="E345" s="6">
        <v>59</v>
      </c>
      <c r="F345" s="4" t="s">
        <v>1435</v>
      </c>
      <c r="G345" s="4" t="s">
        <v>1436</v>
      </c>
      <c r="H345" s="4" t="s">
        <v>1437</v>
      </c>
      <c r="I345" s="5" t="str">
        <f>HYPERLINK("https://search.naver.com/search.naver?where=blog&amp;query=%EC%A7%AC%EB%BD%95%EA%B4%80+%EB%8C%80%EC%A0%84%EB%91%94%EC%82%B0%EC%A0%90+%EC%84%9C%EA%B5%AC","블로그 보기")</f>
        <v>블로그 보기</v>
      </c>
      <c r="J345" s="5" t="str">
        <f>HYPERLINK("http://jjkk.winko.net/","업체 보기")</f>
        <v>업체 보기</v>
      </c>
      <c r="K345" s="5"/>
      <c r="L345" s="4"/>
      <c r="M345" s="7">
        <v>46220</v>
      </c>
      <c r="N345" s="8">
        <v>99</v>
      </c>
      <c r="O345" s="8">
        <v>95</v>
      </c>
      <c r="P345" s="8">
        <v>405</v>
      </c>
      <c r="Q345" s="8">
        <v>1</v>
      </c>
      <c r="R345" s="8">
        <v>1</v>
      </c>
      <c r="S345" s="4" t="s">
        <v>1408</v>
      </c>
      <c r="T345" s="9">
        <v>36.353408999999999</v>
      </c>
      <c r="U345" s="9">
        <v>127.3817885</v>
      </c>
    </row>
    <row r="346" spans="1:21" ht="32.1" customHeight="1">
      <c r="A346" s="5" t="s">
        <v>36</v>
      </c>
      <c r="B346" s="5" t="s">
        <v>11</v>
      </c>
      <c r="C346" s="4" t="s">
        <v>1438</v>
      </c>
      <c r="D346" s="4" t="s">
        <v>71</v>
      </c>
      <c r="E346" s="6">
        <v>59</v>
      </c>
      <c r="F346" s="4" t="s">
        <v>1439</v>
      </c>
      <c r="G346" s="4" t="s">
        <v>1440</v>
      </c>
      <c r="H346" s="4" t="s">
        <v>1441</v>
      </c>
      <c r="I346" s="5" t="str">
        <f>HYPERLINK("https://search.naver.com/search.naver?where=blog&amp;query=%EC%B5%9C%EC%95%A0%EB%AD%89%ED%8B%B0%EA%B8%B0+%EA%B0%88%EB%A7%88%EB%B3%B8%EC%A0%90+%EC%84%9C%EA%B5%AC","블로그 보기")</f>
        <v>블로그 보기</v>
      </c>
      <c r="J346" s="5"/>
      <c r="K346" s="5"/>
      <c r="L346" s="4"/>
      <c r="M346" s="7">
        <v>46223</v>
      </c>
      <c r="N346" s="8">
        <v>85</v>
      </c>
      <c r="O346" s="8">
        <v>96</v>
      </c>
      <c r="P346" s="8">
        <v>362</v>
      </c>
      <c r="Q346" s="8">
        <v>1</v>
      </c>
      <c r="R346" s="8">
        <v>1</v>
      </c>
      <c r="S346" s="4" t="s">
        <v>1320</v>
      </c>
      <c r="T346" s="9">
        <v>36.347751500000001</v>
      </c>
      <c r="U346" s="9">
        <v>127.3727392</v>
      </c>
    </row>
    <row r="347" spans="1:21" ht="32.1" customHeight="1">
      <c r="A347" s="5" t="s">
        <v>36</v>
      </c>
      <c r="B347" s="5" t="s">
        <v>11</v>
      </c>
      <c r="C347" s="4" t="s">
        <v>1442</v>
      </c>
      <c r="D347" s="4" t="s">
        <v>96</v>
      </c>
      <c r="E347" s="6">
        <v>59</v>
      </c>
      <c r="F347" s="4" t="s">
        <v>45</v>
      </c>
      <c r="G347" s="4" t="s">
        <v>1443</v>
      </c>
      <c r="H347" s="4" t="s">
        <v>1444</v>
      </c>
      <c r="I347" s="5" t="str">
        <f>HYPERLINK("https://search.naver.com/search.naver?where=blog&amp;query=%ED%95%9C%EC%83%81%EB%B0%94%EC%98%A4+%EC%99%80%EA%B0%88%EB%B9%84+%EB%8C%80%EC%A0%84%EC%A0%90+%EC%84%9C%EA%B5%AC","블로그 보기")</f>
        <v>블로그 보기</v>
      </c>
      <c r="J347" s="5" t="str">
        <f>HYPERLINK("https://www.instagram.com/hansangbaowagalbi_dj/","업체 보기")</f>
        <v>업체 보기</v>
      </c>
      <c r="K347" s="5"/>
      <c r="L347" s="4"/>
      <c r="M347" s="7">
        <v>46220</v>
      </c>
      <c r="N347" s="8">
        <v>100</v>
      </c>
      <c r="O347" s="8">
        <v>99</v>
      </c>
      <c r="P347" s="8">
        <v>220</v>
      </c>
      <c r="Q347" s="8">
        <v>1</v>
      </c>
      <c r="R347" s="8">
        <v>1</v>
      </c>
      <c r="S347" s="4" t="s">
        <v>1419</v>
      </c>
      <c r="T347" s="9">
        <v>36.347793600000003</v>
      </c>
      <c r="U347" s="9">
        <v>127.3766258</v>
      </c>
    </row>
    <row r="348" spans="1:21" ht="32.1" customHeight="1">
      <c r="A348" s="5" t="s">
        <v>36</v>
      </c>
      <c r="B348" s="5" t="s">
        <v>11</v>
      </c>
      <c r="C348" s="4" t="s">
        <v>1445</v>
      </c>
      <c r="D348" s="4" t="s">
        <v>71</v>
      </c>
      <c r="E348" s="6">
        <v>58</v>
      </c>
      <c r="F348" s="4" t="s">
        <v>1446</v>
      </c>
      <c r="G348" s="4" t="s">
        <v>1447</v>
      </c>
      <c r="H348" s="4" t="s">
        <v>1448</v>
      </c>
      <c r="I348" s="5" t="str">
        <f>HYPERLINK("https://search.naver.com/search.naver?where=blog&amp;query=%EB%B0%A4%EB%A7%9B%EA%B3%A0%EC%9D%84+%EC%84%9C%EA%B5%AC","블로그 보기")</f>
        <v>블로그 보기</v>
      </c>
      <c r="J348" s="5"/>
      <c r="K348" s="5"/>
      <c r="L348" s="4"/>
      <c r="M348" s="7">
        <v>46222</v>
      </c>
      <c r="N348" s="8">
        <v>94</v>
      </c>
      <c r="O348" s="8">
        <v>92</v>
      </c>
      <c r="P348" s="8">
        <v>400</v>
      </c>
      <c r="Q348" s="8">
        <v>2</v>
      </c>
      <c r="R348" s="8">
        <v>1</v>
      </c>
      <c r="S348" s="4" t="s">
        <v>1449</v>
      </c>
      <c r="T348" s="9">
        <v>36.347802700000003</v>
      </c>
      <c r="U348" s="9">
        <v>127.3708628</v>
      </c>
    </row>
    <row r="349" spans="1:21" ht="32.1" customHeight="1">
      <c r="A349" s="5" t="s">
        <v>36</v>
      </c>
      <c r="B349" s="5" t="s">
        <v>11</v>
      </c>
      <c r="C349" s="4" t="s">
        <v>1450</v>
      </c>
      <c r="D349" s="4" t="s">
        <v>339</v>
      </c>
      <c r="E349" s="6">
        <v>58</v>
      </c>
      <c r="F349" s="4" t="s">
        <v>404</v>
      </c>
      <c r="G349" s="4" t="s">
        <v>1451</v>
      </c>
      <c r="H349" s="4" t="s">
        <v>1452</v>
      </c>
      <c r="I349" s="5" t="str">
        <f>HYPERLINK("https://search.naver.com/search.naver?where=blog&amp;query=%EC%83%98%EB%A8%B8%EB%A6%AC%EA%B9%80%EB%B0%A5+%EC%84%9C%EA%B5%AC","블로그 보기")</f>
        <v>블로그 보기</v>
      </c>
      <c r="J349" s="5" t="str">
        <f>HYPERLINK("https://blog.naver.com/hmk860103","업체 보기")</f>
        <v>업체 보기</v>
      </c>
      <c r="K349" s="5"/>
      <c r="L349" s="4"/>
      <c r="M349" s="7">
        <v>46220</v>
      </c>
      <c r="N349" s="8">
        <v>45</v>
      </c>
      <c r="O349" s="8">
        <v>84</v>
      </c>
      <c r="P349" s="8">
        <v>349</v>
      </c>
      <c r="Q349" s="8">
        <v>2</v>
      </c>
      <c r="R349" s="8">
        <v>1</v>
      </c>
      <c r="S349" s="4" t="s">
        <v>1340</v>
      </c>
      <c r="T349" s="9">
        <v>36.361954500000003</v>
      </c>
      <c r="U349" s="9">
        <v>127.3913275</v>
      </c>
    </row>
    <row r="350" spans="1:21" ht="32.1" customHeight="1">
      <c r="A350" s="5" t="s">
        <v>36</v>
      </c>
      <c r="B350" s="5" t="s">
        <v>11</v>
      </c>
      <c r="C350" s="4" t="s">
        <v>1453</v>
      </c>
      <c r="D350" s="4" t="s">
        <v>55</v>
      </c>
      <c r="E350" s="6">
        <v>58</v>
      </c>
      <c r="F350" s="4" t="s">
        <v>1454</v>
      </c>
      <c r="G350" s="4" t="s">
        <v>1455</v>
      </c>
      <c r="H350" s="4" t="s">
        <v>1456</v>
      </c>
      <c r="I350" s="5" t="str">
        <f>HYPERLINK("https://search.naver.com/search.naver?where=blog&amp;query=%EC%84%A4%EC%B2%9C%EC%88%9C%EB%8C%80%EA%B5%AD%EB%B0%A5+%EC%84%9C%EA%B5%AC","블로그 보기")</f>
        <v>블로그 보기</v>
      </c>
      <c r="J350" s="5"/>
      <c r="K350" s="5"/>
      <c r="L350" s="4"/>
      <c r="M350" s="7">
        <v>46218</v>
      </c>
      <c r="N350" s="8">
        <v>86</v>
      </c>
      <c r="O350" s="8">
        <v>94</v>
      </c>
      <c r="P350" s="8">
        <v>366</v>
      </c>
      <c r="Q350" s="8">
        <v>2</v>
      </c>
      <c r="R350" s="8">
        <v>1</v>
      </c>
      <c r="S350" s="4" t="s">
        <v>1395</v>
      </c>
      <c r="T350" s="9">
        <v>36.353995699999999</v>
      </c>
      <c r="U350" s="9">
        <v>127.3805236</v>
      </c>
    </row>
    <row r="351" spans="1:21" ht="32.1" customHeight="1">
      <c r="A351" s="5" t="s">
        <v>36</v>
      </c>
      <c r="B351" s="5" t="s">
        <v>11</v>
      </c>
      <c r="C351" s="4" t="s">
        <v>1457</v>
      </c>
      <c r="D351" s="4" t="s">
        <v>1458</v>
      </c>
      <c r="E351" s="6">
        <v>58</v>
      </c>
      <c r="F351" s="4" t="s">
        <v>1459</v>
      </c>
      <c r="G351" s="4" t="s">
        <v>1460</v>
      </c>
      <c r="H351" s="4" t="s">
        <v>1461</v>
      </c>
      <c r="I351" s="5" t="str">
        <f>HYPERLINK("https://search.naver.com/search.naver?where=blog&amp;query=%EC%8B%9C%EA%B3%A8%EA%B8%B8%EB%82%B4%EB%A5%99%EB%B3%B8%EC%A0%90+%EC%84%9C%EA%B5%AC","블로그 보기")</f>
        <v>블로그 보기</v>
      </c>
      <c r="J351" s="5"/>
      <c r="K351" s="5"/>
      <c r="L351" s="4"/>
      <c r="M351" s="7">
        <v>46191</v>
      </c>
      <c r="N351" s="8">
        <v>43</v>
      </c>
      <c r="O351" s="8">
        <v>97</v>
      </c>
      <c r="P351" s="8">
        <v>172</v>
      </c>
      <c r="Q351" s="8">
        <v>1</v>
      </c>
      <c r="R351" s="8">
        <v>1</v>
      </c>
      <c r="S351" s="4" t="s">
        <v>1376</v>
      </c>
      <c r="T351" s="9">
        <v>36.354433100000001</v>
      </c>
      <c r="U351" s="9">
        <v>127.3773613</v>
      </c>
    </row>
    <row r="352" spans="1:21" ht="32.1" customHeight="1">
      <c r="A352" s="5" t="s">
        <v>36</v>
      </c>
      <c r="B352" s="5" t="s">
        <v>11</v>
      </c>
      <c r="C352" s="4" t="s">
        <v>1462</v>
      </c>
      <c r="D352" s="4" t="s">
        <v>231</v>
      </c>
      <c r="E352" s="6">
        <v>58</v>
      </c>
      <c r="F352" s="4" t="s">
        <v>836</v>
      </c>
      <c r="G352" s="4" t="s">
        <v>1463</v>
      </c>
      <c r="H352" s="4" t="s">
        <v>1464</v>
      </c>
      <c r="I352" s="5" t="str">
        <f>HYPERLINK("https://search.naver.com/search.naver?where=blog&amp;query=%EC%9C%A1%ED%95%A8+%EC%84%9C%EA%B5%AC","블로그 보기")</f>
        <v>블로그 보기</v>
      </c>
      <c r="J352" s="5" t="str">
        <f>HYPERLINK("https://www.instagram.com/yookham__","업체 보기")</f>
        <v>업체 보기</v>
      </c>
      <c r="K352" s="5"/>
      <c r="L352" s="4"/>
      <c r="M352" s="7">
        <v>46213</v>
      </c>
      <c r="N352" s="8">
        <v>91</v>
      </c>
      <c r="O352" s="8">
        <v>95</v>
      </c>
      <c r="P352" s="8">
        <v>251</v>
      </c>
      <c r="Q352" s="8">
        <v>2</v>
      </c>
      <c r="R352" s="8">
        <v>1</v>
      </c>
      <c r="S352" s="4" t="s">
        <v>1419</v>
      </c>
      <c r="T352" s="9">
        <v>36.352076400000001</v>
      </c>
      <c r="U352" s="9">
        <v>127.3736968</v>
      </c>
    </row>
    <row r="353" spans="1:21" ht="32.1" customHeight="1">
      <c r="A353" s="5" t="s">
        <v>36</v>
      </c>
      <c r="B353" s="5" t="s">
        <v>11</v>
      </c>
      <c r="C353" s="4" t="s">
        <v>1465</v>
      </c>
      <c r="D353" s="4" t="s">
        <v>38</v>
      </c>
      <c r="E353" s="6">
        <v>58</v>
      </c>
      <c r="F353" s="4" t="s">
        <v>39</v>
      </c>
      <c r="G353" s="4" t="s">
        <v>1466</v>
      </c>
      <c r="H353" s="4" t="s">
        <v>1467</v>
      </c>
      <c r="I353" s="5" t="str">
        <f>HYPERLINK("https://search.naver.com/search.naver?where=blog&amp;query=%EC%9E%A5%EC%9B%90%EA%B0%91%EC%B9%BC%EA%B5%AD%EC%88%98+%EB%91%94%EC%82%B0+%EA%B0%A4%EB%9F%AC%EB%A6%AC%EC%95%84+%ED%83%80%EC%9E%84%EC%9B%94%EB%93%9C%EC%A0%90+%EC%84%9C%EA%B5%AC","블로그 보기")</f>
        <v>블로그 보기</v>
      </c>
      <c r="J353" s="5" t="str">
        <f>HYPERLINK("https://www.instagram.com/jangwongab_dunsan/","업체 보기")</f>
        <v>업체 보기</v>
      </c>
      <c r="K353" s="5"/>
      <c r="L353" s="4"/>
      <c r="M353" s="7">
        <v>46223</v>
      </c>
      <c r="N353" s="8">
        <v>100</v>
      </c>
      <c r="O353" s="8">
        <v>98</v>
      </c>
      <c r="P353" s="8">
        <v>1577</v>
      </c>
      <c r="Q353" s="8">
        <v>1</v>
      </c>
      <c r="R353" s="8">
        <v>0</v>
      </c>
      <c r="S353" s="4" t="s">
        <v>1468</v>
      </c>
      <c r="T353" s="9">
        <v>36.3481886</v>
      </c>
      <c r="U353" s="9">
        <v>127.3778882</v>
      </c>
    </row>
    <row r="354" spans="1:21" ht="32.1" customHeight="1">
      <c r="A354" s="5" t="s">
        <v>36</v>
      </c>
      <c r="B354" s="5" t="s">
        <v>11</v>
      </c>
      <c r="C354" s="4" t="s">
        <v>1469</v>
      </c>
      <c r="D354" s="4" t="s">
        <v>438</v>
      </c>
      <c r="E354" s="6">
        <v>58</v>
      </c>
      <c r="F354" s="4" t="s">
        <v>1470</v>
      </c>
      <c r="G354" s="4" t="s">
        <v>1471</v>
      </c>
      <c r="H354" s="4" t="s">
        <v>1472</v>
      </c>
      <c r="I354" s="5" t="str">
        <f>HYPERLINK("https://search.naver.com/search.naver?where=blog&amp;query=%ED%82%A8%ED%86%A0%ED%86%A0+%EB%8C%80%EC%A0%84%EC%A0%90+%EC%84%9C%EA%B5%AC","블로그 보기")</f>
        <v>블로그 보기</v>
      </c>
      <c r="J354" s="5" t="str">
        <f>HYPERLINK("http://instagram.com/KINTOTO_GALMA","업체 보기")</f>
        <v>업체 보기</v>
      </c>
      <c r="K354" s="5"/>
      <c r="L354" s="4"/>
      <c r="M354" s="7">
        <v>46191</v>
      </c>
      <c r="N354" s="8">
        <v>13</v>
      </c>
      <c r="O354" s="8">
        <v>96</v>
      </c>
      <c r="P354" s="8">
        <v>172</v>
      </c>
      <c r="Q354" s="8">
        <v>1</v>
      </c>
      <c r="R354" s="8">
        <v>1</v>
      </c>
      <c r="S354" s="4" t="s">
        <v>1473</v>
      </c>
      <c r="T354" s="9">
        <v>36.350893300000003</v>
      </c>
      <c r="U354" s="9">
        <v>127.3728132</v>
      </c>
    </row>
    <row r="355" spans="1:21" ht="32.1" customHeight="1">
      <c r="A355" s="5" t="s">
        <v>36</v>
      </c>
      <c r="B355" s="5" t="s">
        <v>11</v>
      </c>
      <c r="C355" s="4" t="s">
        <v>1474</v>
      </c>
      <c r="D355" s="4" t="s">
        <v>96</v>
      </c>
      <c r="E355" s="6">
        <v>58</v>
      </c>
      <c r="F355" s="4" t="s">
        <v>1475</v>
      </c>
      <c r="G355" s="4" t="s">
        <v>1476</v>
      </c>
      <c r="H355" s="4" t="s">
        <v>1477</v>
      </c>
      <c r="I355" s="5" t="str">
        <f>HYPERLINK("https://search.naver.com/search.naver?where=blog&amp;query=%ED%98%B8%EB%B0%95%EA%BD%83%EB%A7%88%EC%B0%A8+%EB%B3%B8%EC%A0%90+%EC%84%9C%EA%B5%AC","블로그 보기")</f>
        <v>블로그 보기</v>
      </c>
      <c r="J355" s="5" t="str">
        <f>HYPERLINK("http://www.hbgmacha.com/","업체 보기")</f>
        <v>업체 보기</v>
      </c>
      <c r="K355" s="5"/>
      <c r="L355" s="4"/>
      <c r="M355" s="7">
        <v>46221</v>
      </c>
      <c r="N355" s="8">
        <v>49</v>
      </c>
      <c r="O355" s="8">
        <v>99</v>
      </c>
      <c r="P355" s="8">
        <v>120</v>
      </c>
      <c r="Q355" s="8">
        <v>1</v>
      </c>
      <c r="R355" s="8">
        <v>1</v>
      </c>
      <c r="S355" s="4" t="s">
        <v>1388</v>
      </c>
      <c r="T355" s="9">
        <v>36.347838899999999</v>
      </c>
      <c r="U355" s="9">
        <v>127.3736797</v>
      </c>
    </row>
    <row r="356" spans="1:21" ht="32.1" customHeight="1">
      <c r="A356" s="5" t="s">
        <v>36</v>
      </c>
      <c r="B356" s="5" t="s">
        <v>11</v>
      </c>
      <c r="C356" s="4" t="s">
        <v>1478</v>
      </c>
      <c r="D356" s="4" t="s">
        <v>1125</v>
      </c>
      <c r="E356" s="6">
        <v>57</v>
      </c>
      <c r="F356" s="4" t="s">
        <v>1479</v>
      </c>
      <c r="G356" s="4" t="s">
        <v>1480</v>
      </c>
      <c r="H356" s="4" t="s">
        <v>1481</v>
      </c>
      <c r="I356" s="5" t="str">
        <f>HYPERLINK("https://search.naver.com/search.naver?where=blog&amp;query=%EA%B5%AD%EB%B0%A5+%EC%B0%B8+%EB%A7%9B%EC%9E%88%EB%8A%94+%EC%A7%91+%EB%8C%80%EC%A0%84%EC%8B%9C%EC%B2%AD%EC%A0%90+%EC%84%9C%EA%B5%AC","블로그 보기")</f>
        <v>블로그 보기</v>
      </c>
      <c r="J356" s="5" t="str">
        <f>HYPERLINK("https://www.gukcham.com/","업체 보기")</f>
        <v>업체 보기</v>
      </c>
      <c r="K356" s="5"/>
      <c r="L356" s="4"/>
      <c r="M356" s="7">
        <v>46195</v>
      </c>
      <c r="N356" s="8">
        <v>72</v>
      </c>
      <c r="O356" s="8">
        <v>94</v>
      </c>
      <c r="P356" s="8">
        <v>515</v>
      </c>
      <c r="Q356" s="8">
        <v>1</v>
      </c>
      <c r="R356" s="8">
        <v>0</v>
      </c>
      <c r="S356" s="4" t="s">
        <v>1312</v>
      </c>
      <c r="T356" s="9">
        <v>36.353435900000001</v>
      </c>
      <c r="U356" s="9">
        <v>127.3897595</v>
      </c>
    </row>
    <row r="357" spans="1:21" ht="32.1" customHeight="1">
      <c r="A357" s="5" t="s">
        <v>36</v>
      </c>
      <c r="B357" s="5" t="s">
        <v>11</v>
      </c>
      <c r="C357" s="4" t="s">
        <v>1482</v>
      </c>
      <c r="D357" s="4" t="s">
        <v>215</v>
      </c>
      <c r="E357" s="6">
        <v>57</v>
      </c>
      <c r="F357" s="4" t="s">
        <v>311</v>
      </c>
      <c r="G357" s="4" t="s">
        <v>1483</v>
      </c>
      <c r="H357" s="4" t="s">
        <v>1484</v>
      </c>
      <c r="I357" s="5" t="str">
        <f>HYPERLINK("https://search.naver.com/search.naver?where=blog&amp;query=%EA%B5%B4%EB%A0%81%EC%87%A0%EB%A7%89%EC%B0%BD+%EC%84%9C%EA%B5%AC","블로그 보기")</f>
        <v>블로그 보기</v>
      </c>
      <c r="J357" s="5"/>
      <c r="K357" s="5"/>
      <c r="L357" s="4"/>
      <c r="M357" s="7">
        <v>46205</v>
      </c>
      <c r="N357" s="8">
        <v>42</v>
      </c>
      <c r="O357" s="8">
        <v>95</v>
      </c>
      <c r="P357" s="8">
        <v>142</v>
      </c>
      <c r="Q357" s="8">
        <v>2</v>
      </c>
      <c r="R357" s="8">
        <v>1</v>
      </c>
      <c r="S357" s="4" t="s">
        <v>1449</v>
      </c>
      <c r="T357" s="9">
        <v>36.350725099999998</v>
      </c>
      <c r="U357" s="9">
        <v>127.37142780000001</v>
      </c>
    </row>
    <row r="358" spans="1:21" ht="32.1" customHeight="1">
      <c r="A358" s="5" t="s">
        <v>36</v>
      </c>
      <c r="B358" s="5" t="s">
        <v>11</v>
      </c>
      <c r="C358" s="4" t="s">
        <v>1485</v>
      </c>
      <c r="D358" s="4" t="s">
        <v>210</v>
      </c>
      <c r="E358" s="6">
        <v>57</v>
      </c>
      <c r="F358" s="4" t="s">
        <v>1142</v>
      </c>
      <c r="G358" s="4" t="s">
        <v>1486</v>
      </c>
      <c r="H358" s="4" t="s">
        <v>1487</v>
      </c>
      <c r="I358" s="5" t="str">
        <f>HYPERLINK("https://search.naver.com/search.naver?where=blog&amp;query=%EB%B0%B1%EA%B7%B8%EB%A6%87%EA%B5%AD%EB%B0%A5+%EB%8C%80%EC%A0%84%EB%B2%95%EC%9B%90%EC%A0%90+%EC%84%9C%EA%B5%AC","블로그 보기")</f>
        <v>블로그 보기</v>
      </c>
      <c r="J358" s="5" t="str">
        <f>HYPERLINK("http://100gukbob.com","업체 보기")</f>
        <v>업체 보기</v>
      </c>
      <c r="K358" s="5"/>
      <c r="L358" s="4"/>
      <c r="M358" s="7">
        <v>46182</v>
      </c>
      <c r="N358" s="8">
        <v>17</v>
      </c>
      <c r="O358" s="8">
        <v>96</v>
      </c>
      <c r="P358" s="8">
        <v>493</v>
      </c>
      <c r="Q358" s="8">
        <v>1</v>
      </c>
      <c r="R358" s="8">
        <v>0</v>
      </c>
      <c r="S358" s="4" t="s">
        <v>1395</v>
      </c>
      <c r="T358" s="9">
        <v>36.352371699999999</v>
      </c>
      <c r="U358" s="9">
        <v>127.38939499999999</v>
      </c>
    </row>
    <row r="359" spans="1:21" ht="32.1" customHeight="1">
      <c r="A359" s="5" t="s">
        <v>36</v>
      </c>
      <c r="B359" s="5" t="s">
        <v>11</v>
      </c>
      <c r="C359" s="4" t="s">
        <v>1488</v>
      </c>
      <c r="D359" s="4" t="s">
        <v>231</v>
      </c>
      <c r="E359" s="6">
        <v>57</v>
      </c>
      <c r="F359" s="4" t="s">
        <v>56</v>
      </c>
      <c r="G359" s="4" t="s">
        <v>1489</v>
      </c>
      <c r="H359" s="4" t="s">
        <v>1490</v>
      </c>
      <c r="I359" s="5" t="str">
        <f>HYPERLINK("https://search.naver.com/search.naver?where=blog&amp;query=%EC%9C%A0%EB%AF%B8%EC%82%BC%EA%B2%B9+%EC%88%AF%EB%B6%88%EA%B0%88%EB%B9%84+%EC%84%9C%EA%B5%AC","블로그 보기")</f>
        <v>블로그 보기</v>
      </c>
      <c r="J359" s="5" t="str">
        <f>HYPERLINK("https://www.instagram.com/ume_bbq/","업체 보기")</f>
        <v>업체 보기</v>
      </c>
      <c r="K359" s="5"/>
      <c r="L359" s="4"/>
      <c r="M359" s="7">
        <v>46223</v>
      </c>
      <c r="N359" s="8">
        <v>100</v>
      </c>
      <c r="O359" s="8">
        <v>81</v>
      </c>
      <c r="P359" s="8">
        <v>3441</v>
      </c>
      <c r="Q359" s="8">
        <v>1</v>
      </c>
      <c r="R359" s="8">
        <v>1</v>
      </c>
      <c r="S359" s="4" t="s">
        <v>1419</v>
      </c>
      <c r="T359" s="9">
        <v>36.351076499999998</v>
      </c>
      <c r="U359" s="9">
        <v>127.368352</v>
      </c>
    </row>
    <row r="360" spans="1:21" ht="32.1" customHeight="1">
      <c r="A360" s="5" t="s">
        <v>36</v>
      </c>
      <c r="B360" s="5" t="s">
        <v>11</v>
      </c>
      <c r="C360" s="4" t="s">
        <v>1491</v>
      </c>
      <c r="D360" s="4" t="s">
        <v>381</v>
      </c>
      <c r="E360" s="6">
        <v>57</v>
      </c>
      <c r="F360" s="4" t="s">
        <v>1492</v>
      </c>
      <c r="G360" s="4" t="s">
        <v>1493</v>
      </c>
      <c r="H360" s="4" t="s">
        <v>1494</v>
      </c>
      <c r="I360" s="5" t="str">
        <f>HYPERLINK("https://search.naver.com/search.naver?where=blog&amp;query=%EC%A3%BC%EA%B0%90+%EB%B3%B8%EC%A0%90+%EC%84%9C%EA%B5%AC","블로그 보기")</f>
        <v>블로그 보기</v>
      </c>
      <c r="J360" s="5" t="str">
        <f>HYPERLINK("https://www.instagram.com/jugam_daejeon","업체 보기")</f>
        <v>업체 보기</v>
      </c>
      <c r="K360" s="5"/>
      <c r="L360" s="4"/>
      <c r="M360" s="7">
        <v>46212</v>
      </c>
      <c r="N360" s="8">
        <v>29</v>
      </c>
      <c r="O360" s="8">
        <v>69</v>
      </c>
      <c r="P360" s="8">
        <v>72</v>
      </c>
      <c r="Q360" s="8">
        <v>1</v>
      </c>
      <c r="R360" s="8">
        <v>1</v>
      </c>
      <c r="S360" s="4" t="s">
        <v>1495</v>
      </c>
      <c r="T360" s="9">
        <v>36.3520252</v>
      </c>
      <c r="U360" s="9">
        <v>127.3728983</v>
      </c>
    </row>
    <row r="361" spans="1:21" ht="32.1" customHeight="1">
      <c r="A361" s="5" t="s">
        <v>36</v>
      </c>
      <c r="B361" s="5" t="s">
        <v>11</v>
      </c>
      <c r="C361" s="4" t="s">
        <v>1496</v>
      </c>
      <c r="D361" s="4" t="s">
        <v>913</v>
      </c>
      <c r="E361" s="6">
        <v>57</v>
      </c>
      <c r="F361" s="4" t="s">
        <v>56</v>
      </c>
      <c r="G361" s="4" t="s">
        <v>1497</v>
      </c>
      <c r="H361" s="4" t="s">
        <v>1498</v>
      </c>
      <c r="I361" s="5" t="str">
        <f>HYPERLINK("https://search.naver.com/search.naver?where=blog&amp;query=%ED%91%B8%EC%A7%90%ED%95%9C%EC%A1%B0%EA%B0%9C%EC%B0%9C+%EC%84%9C%EA%B5%AC","블로그 보기")</f>
        <v>블로그 보기</v>
      </c>
      <c r="J361" s="5" t="str">
        <f>HYPERLINK("http://ok114.co.kr/0424717026","업체 보기")</f>
        <v>업체 보기</v>
      </c>
      <c r="K361" s="5"/>
      <c r="L361" s="4"/>
      <c r="M361" s="7">
        <v>46223</v>
      </c>
      <c r="N361" s="8">
        <v>100</v>
      </c>
      <c r="O361" s="8">
        <v>94</v>
      </c>
      <c r="P361" s="8">
        <v>3041</v>
      </c>
      <c r="Q361" s="8">
        <v>1</v>
      </c>
      <c r="R361" s="8">
        <v>1</v>
      </c>
      <c r="S361" s="4" t="s">
        <v>1495</v>
      </c>
      <c r="T361" s="9">
        <v>36.354144400000003</v>
      </c>
      <c r="U361" s="9">
        <v>127.3679769</v>
      </c>
    </row>
    <row r="362" spans="1:21" ht="32.1" customHeight="1">
      <c r="A362" s="5" t="s">
        <v>36</v>
      </c>
      <c r="B362" s="5" t="s">
        <v>11</v>
      </c>
      <c r="C362" s="4" t="s">
        <v>1499</v>
      </c>
      <c r="D362" s="4" t="s">
        <v>119</v>
      </c>
      <c r="E362" s="6">
        <v>56</v>
      </c>
      <c r="F362" s="4" t="s">
        <v>443</v>
      </c>
      <c r="G362" s="4" t="s">
        <v>1500</v>
      </c>
      <c r="H362" s="4" t="s">
        <v>1501</v>
      </c>
      <c r="I362" s="5" t="str">
        <f>HYPERLINK("https://search.naver.com/search.naver?where=blog&amp;query=%EA%B8%B8%EA%B0%80%EC%98%86%EC%97%90%EB%88%84%EB%A3%BD%EC%A7%80%EC%82%BC%EA%B3%84%ED%83%95+%EC%84%9C%EA%B5%AC%EC%A0%90+%EC%84%9C%EA%B5%AC","블로그 보기")</f>
        <v>블로그 보기</v>
      </c>
      <c r="J362" s="5" t="str">
        <f>HYPERLINK("http://gilgayeope.com/","업체 보기")</f>
        <v>업체 보기</v>
      </c>
      <c r="K362" s="5"/>
      <c r="L362" s="4"/>
      <c r="M362" s="7">
        <v>46210</v>
      </c>
      <c r="N362" s="8">
        <v>8</v>
      </c>
      <c r="O362" s="8">
        <v>39</v>
      </c>
      <c r="P362" s="8">
        <v>51</v>
      </c>
      <c r="Q362" s="8">
        <v>2</v>
      </c>
      <c r="R362" s="8">
        <v>1</v>
      </c>
      <c r="S362" s="4" t="s">
        <v>1330</v>
      </c>
      <c r="T362" s="9">
        <v>36.354289000000001</v>
      </c>
      <c r="U362" s="9">
        <v>127.3683204</v>
      </c>
    </row>
    <row r="363" spans="1:21" ht="32.1" customHeight="1">
      <c r="A363" s="5" t="s">
        <v>36</v>
      </c>
      <c r="B363" s="5" t="s">
        <v>11</v>
      </c>
      <c r="C363" s="4" t="s">
        <v>1502</v>
      </c>
      <c r="D363" s="4" t="s">
        <v>71</v>
      </c>
      <c r="E363" s="6">
        <v>56</v>
      </c>
      <c r="F363" s="4" t="s">
        <v>56</v>
      </c>
      <c r="G363" s="4" t="s">
        <v>1503</v>
      </c>
      <c r="H363" s="4" t="s">
        <v>1504</v>
      </c>
      <c r="I363" s="5" t="str">
        <f>HYPERLINK("https://search.naver.com/search.naver?where=blog&amp;query=%EB%8B%B4%EC%98%A8%EC%8B%9D%EB%8B%B9+%EC%84%9C%EA%B5%AC","블로그 보기")</f>
        <v>블로그 보기</v>
      </c>
      <c r="J363" s="5" t="str">
        <f>HYPERLINK("https://blog.naver.com/mac2y2","업체 보기")</f>
        <v>업체 보기</v>
      </c>
      <c r="K363" s="5"/>
      <c r="L363" s="4"/>
      <c r="M363" s="7">
        <v>46222</v>
      </c>
      <c r="N363" s="8">
        <v>100</v>
      </c>
      <c r="O363" s="8">
        <v>95</v>
      </c>
      <c r="P363" s="8">
        <v>746</v>
      </c>
      <c r="Q363" s="8">
        <v>2</v>
      </c>
      <c r="R363" s="8">
        <v>0</v>
      </c>
      <c r="S363" s="4" t="s">
        <v>1505</v>
      </c>
      <c r="T363" s="9">
        <v>36.352251000000003</v>
      </c>
      <c r="U363" s="9">
        <v>127.3872557</v>
      </c>
    </row>
    <row r="364" spans="1:21" ht="32.1" customHeight="1">
      <c r="A364" s="5" t="s">
        <v>36</v>
      </c>
      <c r="B364" s="5" t="s">
        <v>11</v>
      </c>
      <c r="C364" s="4" t="s">
        <v>1506</v>
      </c>
      <c r="D364" s="4" t="s">
        <v>210</v>
      </c>
      <c r="E364" s="6">
        <v>56</v>
      </c>
      <c r="F364" s="4" t="s">
        <v>45</v>
      </c>
      <c r="G364" s="4" t="s">
        <v>1507</v>
      </c>
      <c r="H364" s="4" t="s">
        <v>1508</v>
      </c>
      <c r="I364" s="5" t="str">
        <f>HYPERLINK("https://search.naver.com/search.naver?where=blog&amp;query=%EC%82%B0%EB%8D%94%EB%AF%B8+%EB%AF%B8%EC%84%B1%EB%8F%BC%EC%A7%80%EA%B5%AD%EB%B0%A5+%EB%8C%80%EC%A0%84%EB%91%94%EC%82%B0%EC%A0%90+%EC%84%9C%EA%B5%AC","블로그 보기")</f>
        <v>블로그 보기</v>
      </c>
      <c r="J364" s="5" t="str">
        <f>HYPERLINK("https://sandeomimiseong.com","업체 보기")</f>
        <v>업체 보기</v>
      </c>
      <c r="K364" s="5"/>
      <c r="L364" s="4"/>
      <c r="M364" s="7">
        <v>46222</v>
      </c>
      <c r="N364" s="8">
        <v>100</v>
      </c>
      <c r="O364" s="8">
        <v>93</v>
      </c>
      <c r="P364" s="8">
        <v>309</v>
      </c>
      <c r="Q364" s="8">
        <v>1</v>
      </c>
      <c r="R364" s="8">
        <v>0</v>
      </c>
      <c r="S364" s="4" t="s">
        <v>1395</v>
      </c>
      <c r="T364" s="9">
        <v>36.351702699999997</v>
      </c>
      <c r="U364" s="9">
        <v>127.3882086</v>
      </c>
    </row>
    <row r="365" spans="1:21" ht="32.1" customHeight="1">
      <c r="A365" s="5" t="s">
        <v>36</v>
      </c>
      <c r="B365" s="5" t="s">
        <v>11</v>
      </c>
      <c r="C365" s="4" t="s">
        <v>1509</v>
      </c>
      <c r="D365" s="4" t="s">
        <v>119</v>
      </c>
      <c r="E365" s="6">
        <v>56</v>
      </c>
      <c r="F365" s="4" t="s">
        <v>885</v>
      </c>
      <c r="G365" s="4" t="s">
        <v>1510</v>
      </c>
      <c r="H365" s="4" t="s">
        <v>1511</v>
      </c>
      <c r="I365" s="5" t="str">
        <f>HYPERLINK("https://search.naver.com/search.naver?where=blog&amp;query=%EC%88%98%EB%B3%B5%EC%82%BC%EA%B3%84%ED%83%95+%EB%91%94%EC%82%B0%EC%A0%90+%EC%84%9C%EA%B5%AC","블로그 보기")</f>
        <v>블로그 보기</v>
      </c>
      <c r="J365" s="5" t="str">
        <f>HYPERLINK("https://본수복삼계탕.com/","업체 보기")</f>
        <v>업체 보기</v>
      </c>
      <c r="K365" s="5"/>
      <c r="L365" s="4"/>
      <c r="M365" s="7">
        <v>46157</v>
      </c>
      <c r="N365" s="8">
        <v>39</v>
      </c>
      <c r="O365" s="8">
        <v>51</v>
      </c>
      <c r="P365" s="8">
        <v>58</v>
      </c>
      <c r="Q365" s="8">
        <v>2</v>
      </c>
      <c r="R365" s="8">
        <v>1</v>
      </c>
      <c r="S365" s="4" t="s">
        <v>1312</v>
      </c>
      <c r="T365" s="9">
        <v>36.352507299999999</v>
      </c>
      <c r="U365" s="9">
        <v>127.3872672</v>
      </c>
    </row>
    <row r="366" spans="1:21" ht="32.1" customHeight="1">
      <c r="A366" s="5" t="s">
        <v>36</v>
      </c>
      <c r="B366" s="5" t="s">
        <v>11</v>
      </c>
      <c r="C366" s="4" t="s">
        <v>1512</v>
      </c>
      <c r="D366" s="4" t="s">
        <v>38</v>
      </c>
      <c r="E366" s="6">
        <v>56</v>
      </c>
      <c r="F366" s="4" t="s">
        <v>1513</v>
      </c>
      <c r="G366" s="4" t="s">
        <v>1514</v>
      </c>
      <c r="H366" s="4" t="s">
        <v>1515</v>
      </c>
      <c r="I366" s="5" t="str">
        <f>HYPERLINK("https://search.naver.com/search.naver?where=blog&amp;query=%EC%98%A4%EC%94%A8%EC%B9%BC%EA%B5%AD%EC%88%98+%EB%91%94%EC%82%B0%EC%A0%90+%EB%91%94%EC%82%B0%EB%8F%99","블로그 보기")</f>
        <v>블로그 보기</v>
      </c>
      <c r="J366" s="5"/>
      <c r="K366" s="5"/>
      <c r="L366" s="4"/>
      <c r="M366" s="7">
        <v>46222</v>
      </c>
      <c r="N366" s="8">
        <v>86</v>
      </c>
      <c r="O366" s="8">
        <v>100</v>
      </c>
      <c r="P366" s="8">
        <v>283</v>
      </c>
      <c r="Q366" s="8">
        <v>1</v>
      </c>
      <c r="R366" s="8">
        <v>0</v>
      </c>
      <c r="S366" s="4" t="s">
        <v>1468</v>
      </c>
      <c r="T366" s="9">
        <v>36.354301100000001</v>
      </c>
      <c r="U366" s="9">
        <v>127.3833078</v>
      </c>
    </row>
    <row r="367" spans="1:21" ht="32.1" customHeight="1">
      <c r="A367" s="5" t="s">
        <v>36</v>
      </c>
      <c r="B367" s="5" t="s">
        <v>11</v>
      </c>
      <c r="C367" s="4" t="s">
        <v>1516</v>
      </c>
      <c r="D367" s="4" t="s">
        <v>1517</v>
      </c>
      <c r="E367" s="6">
        <v>56</v>
      </c>
      <c r="F367" s="4" t="s">
        <v>1427</v>
      </c>
      <c r="G367" s="4" t="s">
        <v>1518</v>
      </c>
      <c r="H367" s="4" t="s">
        <v>1519</v>
      </c>
      <c r="I367" s="5" t="str">
        <f>HYPERLINK("https://search.naver.com/search.naver?where=blog&amp;query=%ED%83%9D%EC%9D%B4%EB%84%A4%EC%A1%B0%EA%B0%9C%EC%A0%84%EA%B3%A8+%EB%8C%80%EC%A0%84%EC%8B%9C%EC%B2%AD%EC%A0%90+%EC%84%9C%EA%B5%AC","블로그 보기")</f>
        <v>블로그 보기</v>
      </c>
      <c r="J367" s="5"/>
      <c r="K367" s="5"/>
      <c r="L367" s="4"/>
      <c r="M367" s="7">
        <v>46220</v>
      </c>
      <c r="N367" s="8">
        <v>44</v>
      </c>
      <c r="O367" s="8">
        <v>97</v>
      </c>
      <c r="P367" s="8">
        <v>293</v>
      </c>
      <c r="Q367" s="8">
        <v>1</v>
      </c>
      <c r="R367" s="8">
        <v>0</v>
      </c>
      <c r="S367" s="4" t="s">
        <v>1376</v>
      </c>
      <c r="T367" s="9">
        <v>36.349199599999999</v>
      </c>
      <c r="U367" s="9">
        <v>127.388603</v>
      </c>
    </row>
    <row r="368" spans="1:21" ht="32.1" customHeight="1">
      <c r="A368" s="5" t="s">
        <v>36</v>
      </c>
      <c r="B368" s="5" t="s">
        <v>11</v>
      </c>
      <c r="C368" s="4" t="s">
        <v>1520</v>
      </c>
      <c r="D368" s="4" t="s">
        <v>71</v>
      </c>
      <c r="E368" s="6">
        <v>55</v>
      </c>
      <c r="F368" s="4" t="s">
        <v>97</v>
      </c>
      <c r="G368" s="4" t="s">
        <v>1521</v>
      </c>
      <c r="H368" s="4" t="s">
        <v>1522</v>
      </c>
      <c r="I368" s="5" t="str">
        <f>HYPERLINK("https://search.naver.com/search.naver?where=blog&amp;query=%EB%8B%B4%EB%9D%BC+%EB%91%94%EC%82%B0%EB%B3%B8%EC%A0%90+%EC%84%9C%EA%B5%AC","블로그 보기")</f>
        <v>블로그 보기</v>
      </c>
      <c r="J368" s="5" t="str">
        <f>HYPERLINK("https://www.instagram.com/damra_means_jeju","업체 보기")</f>
        <v>업체 보기</v>
      </c>
      <c r="K368" s="5"/>
      <c r="L368" s="4"/>
      <c r="M368" s="7">
        <v>46222</v>
      </c>
      <c r="N368" s="8">
        <v>100</v>
      </c>
      <c r="O368" s="8">
        <v>97</v>
      </c>
      <c r="P368" s="8">
        <v>129</v>
      </c>
      <c r="Q368" s="8">
        <v>1</v>
      </c>
      <c r="R368" s="8">
        <v>0</v>
      </c>
      <c r="S368" s="4" t="s">
        <v>1344</v>
      </c>
      <c r="T368" s="9">
        <v>36.350608000000001</v>
      </c>
      <c r="U368" s="9">
        <v>127.3894944</v>
      </c>
    </row>
    <row r="369" spans="1:21" ht="32.1" customHeight="1">
      <c r="A369" s="5" t="s">
        <v>36</v>
      </c>
      <c r="B369" s="5" t="s">
        <v>11</v>
      </c>
      <c r="C369" s="4" t="s">
        <v>1523</v>
      </c>
      <c r="D369" s="4" t="s">
        <v>96</v>
      </c>
      <c r="E369" s="6">
        <v>55</v>
      </c>
      <c r="F369" s="4" t="s">
        <v>236</v>
      </c>
      <c r="G369" s="4" t="s">
        <v>1524</v>
      </c>
      <c r="H369" s="4" t="s">
        <v>1525</v>
      </c>
      <c r="I369" s="5" t="str">
        <f>HYPERLINK("https://search.naver.com/search.naver?where=blog&amp;query=%EB%AC%B4%ED%95%9C%EA%B3%A0%EA%B8%B0%EC%B6%A9%EC%A0%84%EC%86%8C+%EC%84%9C%EA%B5%AC","블로그 보기")</f>
        <v>블로그 보기</v>
      </c>
      <c r="J369" s="5"/>
      <c r="K369" s="5"/>
      <c r="L369" s="4"/>
      <c r="M369" s="7">
        <v>46220</v>
      </c>
      <c r="N369" s="8">
        <v>27</v>
      </c>
      <c r="O369" s="8">
        <v>27</v>
      </c>
      <c r="P369" s="8">
        <v>27</v>
      </c>
      <c r="Q369" s="8">
        <v>2</v>
      </c>
      <c r="R369" s="8">
        <v>1</v>
      </c>
      <c r="S369" s="4" t="s">
        <v>1316</v>
      </c>
      <c r="T369" s="9">
        <v>36.350682800000001</v>
      </c>
      <c r="U369" s="9">
        <v>127.3889942</v>
      </c>
    </row>
    <row r="370" spans="1:21" ht="32.1" customHeight="1">
      <c r="A370" s="5" t="s">
        <v>36</v>
      </c>
      <c r="B370" s="5" t="s">
        <v>11</v>
      </c>
      <c r="C370" s="4" t="s">
        <v>1526</v>
      </c>
      <c r="D370" s="4" t="s">
        <v>248</v>
      </c>
      <c r="E370" s="6">
        <v>55</v>
      </c>
      <c r="F370" s="4" t="s">
        <v>698</v>
      </c>
      <c r="G370" s="4" t="s">
        <v>1527</v>
      </c>
      <c r="H370" s="4" t="s">
        <v>1528</v>
      </c>
      <c r="I370" s="5" t="str">
        <f>HYPERLINK("https://search.naver.com/search.naver?where=blog&amp;query=%EB%B3%B8%EB%A7%8C%EC%A5%AC+%EA%B0%88%EB%A7%88%EC%A0%90+%EC%84%9C%EA%B5%AC","블로그 보기")</f>
        <v>블로그 보기</v>
      </c>
      <c r="J370" s="5" t="str">
        <f>HYPERLINK("https://www.instagram.com/bonmanju1","업체 보기")</f>
        <v>업체 보기</v>
      </c>
      <c r="K370" s="5"/>
      <c r="L370" s="4"/>
      <c r="M370" s="7">
        <v>46215</v>
      </c>
      <c r="N370" s="8">
        <v>22</v>
      </c>
      <c r="O370" s="8">
        <v>27</v>
      </c>
      <c r="P370" s="8">
        <v>29</v>
      </c>
      <c r="Q370" s="8">
        <v>2</v>
      </c>
      <c r="R370" s="8">
        <v>1</v>
      </c>
      <c r="S370" s="4" t="s">
        <v>1449</v>
      </c>
      <c r="T370" s="9">
        <v>36.3516367</v>
      </c>
      <c r="U370" s="9">
        <v>127.3735169</v>
      </c>
    </row>
    <row r="371" spans="1:21" ht="32.1" customHeight="1">
      <c r="A371" s="5" t="s">
        <v>36</v>
      </c>
      <c r="B371" s="5" t="s">
        <v>11</v>
      </c>
      <c r="C371" s="4" t="s">
        <v>1529</v>
      </c>
      <c r="D371" s="4" t="s">
        <v>71</v>
      </c>
      <c r="E371" s="6">
        <v>55</v>
      </c>
      <c r="F371" s="4" t="s">
        <v>56</v>
      </c>
      <c r="G371" s="4" t="s">
        <v>1530</v>
      </c>
      <c r="H371" s="4" t="s">
        <v>1531</v>
      </c>
      <c r="I371" s="5" t="str">
        <f>HYPERLINK("https://search.naver.com/search.naver?where=blog&amp;query=%EB%B6%80%EC%82%B0%EB%A9%B4%EA%B4%80+%EB%91%94%EC%82%B0%EC%A7%81%EC%98%81%EC%A0%90+%EC%84%9C%EA%B5%AC","블로그 보기")</f>
        <v>블로그 보기</v>
      </c>
      <c r="J371" s="5" t="str">
        <f>HYPERLINK("http://busanmyeongwan.co.kr/","업체 보기")</f>
        <v>업체 보기</v>
      </c>
      <c r="K371" s="5"/>
      <c r="L371" s="4"/>
      <c r="M371" s="7">
        <v>46221</v>
      </c>
      <c r="N371" s="8">
        <v>100</v>
      </c>
      <c r="O371" s="8">
        <v>99</v>
      </c>
      <c r="P371" s="8">
        <v>593</v>
      </c>
      <c r="Q371" s="8">
        <v>1</v>
      </c>
      <c r="R371" s="8">
        <v>1</v>
      </c>
      <c r="S371" s="4" t="s">
        <v>1395</v>
      </c>
      <c r="T371" s="9">
        <v>36.353700500000002</v>
      </c>
      <c r="U371" s="9">
        <v>127.38217760000001</v>
      </c>
    </row>
    <row r="372" spans="1:21" ht="32.1" customHeight="1">
      <c r="A372" s="5" t="s">
        <v>36</v>
      </c>
      <c r="B372" s="5" t="s">
        <v>11</v>
      </c>
      <c r="C372" s="4" t="s">
        <v>1532</v>
      </c>
      <c r="D372" s="4" t="s">
        <v>125</v>
      </c>
      <c r="E372" s="6">
        <v>55</v>
      </c>
      <c r="F372" s="4" t="s">
        <v>97</v>
      </c>
      <c r="G372" s="4" t="s">
        <v>1533</v>
      </c>
      <c r="H372" s="4" t="s">
        <v>1534</v>
      </c>
      <c r="I372" s="5" t="str">
        <f>HYPERLINK("https://search.naver.com/search.naver?where=blog&amp;query=%EB%B6%88%ED%83%80%EB%8A%94%EB%B0%98%EC%A0%90+%EB%B3%B8%EC%A0%90+%EC%84%9C%EA%B5%AC","블로그 보기")</f>
        <v>블로그 보기</v>
      </c>
      <c r="J372" s="5" t="str">
        <f>HYPERLINK("https://www.baemin.com/shopDetail?shopDetail_shopNo=14750491&amp;bm_rfr=SHARE&amp;shopDetail_campaignId=-1","업체 보기")</f>
        <v>업체 보기</v>
      </c>
      <c r="K372" s="5"/>
      <c r="L372" s="4"/>
      <c r="M372" s="7">
        <v>46219</v>
      </c>
      <c r="N372" s="8">
        <v>100</v>
      </c>
      <c r="O372" s="8">
        <v>84</v>
      </c>
      <c r="P372" s="8">
        <v>185</v>
      </c>
      <c r="Q372" s="8">
        <v>1</v>
      </c>
      <c r="R372" s="8">
        <v>0</v>
      </c>
      <c r="S372" s="4" t="s">
        <v>1408</v>
      </c>
      <c r="T372" s="9">
        <v>36.353220100000001</v>
      </c>
      <c r="U372" s="9">
        <v>127.38211769999999</v>
      </c>
    </row>
    <row r="373" spans="1:21" ht="32.1" customHeight="1">
      <c r="A373" s="5" t="s">
        <v>36</v>
      </c>
      <c r="B373" s="5" t="s">
        <v>11</v>
      </c>
      <c r="C373" s="4" t="s">
        <v>1535</v>
      </c>
      <c r="D373" s="4" t="s">
        <v>71</v>
      </c>
      <c r="E373" s="6">
        <v>55</v>
      </c>
      <c r="F373" s="4" t="s">
        <v>56</v>
      </c>
      <c r="G373" s="4" t="s">
        <v>1536</v>
      </c>
      <c r="H373" s="4" t="s">
        <v>1537</v>
      </c>
      <c r="I373" s="5" t="str">
        <f>HYPERLINK("https://search.naver.com/search.naver?where=blog&amp;query=%EC%88%98%ED%85%8C+%EC%84%9C%EA%B5%AC","블로그 보기")</f>
        <v>블로그 보기</v>
      </c>
      <c r="J373" s="5" t="str">
        <f>HYPERLINK("https://www.instagram.com/soo__tae","업체 보기")</f>
        <v>업체 보기</v>
      </c>
      <c r="K373" s="5"/>
      <c r="L373" s="4"/>
      <c r="M373" s="7">
        <v>46220</v>
      </c>
      <c r="N373" s="8">
        <v>100</v>
      </c>
      <c r="O373" s="8">
        <v>95</v>
      </c>
      <c r="P373" s="8">
        <v>305</v>
      </c>
      <c r="Q373" s="8">
        <v>2</v>
      </c>
      <c r="R373" s="8">
        <v>0</v>
      </c>
      <c r="S373" s="4" t="s">
        <v>1412</v>
      </c>
      <c r="T373" s="9">
        <v>36.353091300000003</v>
      </c>
      <c r="U373" s="9">
        <v>127.37735429999999</v>
      </c>
    </row>
    <row r="374" spans="1:21" ht="32.1" customHeight="1">
      <c r="A374" s="5" t="s">
        <v>36</v>
      </c>
      <c r="B374" s="5" t="s">
        <v>11</v>
      </c>
      <c r="C374" s="4" t="s">
        <v>1538</v>
      </c>
      <c r="D374" s="4" t="s">
        <v>96</v>
      </c>
      <c r="E374" s="6">
        <v>55</v>
      </c>
      <c r="F374" s="4" t="s">
        <v>1539</v>
      </c>
      <c r="G374" s="4" t="s">
        <v>1540</v>
      </c>
      <c r="H374" s="4" t="s">
        <v>1541</v>
      </c>
      <c r="I374" s="5" t="str">
        <f>HYPERLINK("https://search.naver.com/search.naver?where=blog&amp;query=%EC%97%B0%EA%B3%A8%EC%97%B0%ED%83%84%EC%A7%91+%EB%8C%80%EC%A0%84%EA%B0%88%EB%A7%88%EC%A0%90+%EC%84%9C%EA%B5%AC","블로그 보기")</f>
        <v>블로그 보기</v>
      </c>
      <c r="J374" s="5"/>
      <c r="K374" s="5"/>
      <c r="L374" s="4"/>
      <c r="M374" s="7">
        <v>46213</v>
      </c>
      <c r="N374" s="8">
        <v>98</v>
      </c>
      <c r="O374" s="8">
        <v>96</v>
      </c>
      <c r="P374" s="8">
        <v>167</v>
      </c>
      <c r="Q374" s="8">
        <v>1</v>
      </c>
      <c r="R374" s="8">
        <v>0</v>
      </c>
      <c r="S374" s="4" t="s">
        <v>1320</v>
      </c>
      <c r="T374" s="9">
        <v>36.351588399999997</v>
      </c>
      <c r="U374" s="9">
        <v>127.3684595</v>
      </c>
    </row>
    <row r="375" spans="1:21" ht="32.1" customHeight="1">
      <c r="A375" s="5" t="s">
        <v>36</v>
      </c>
      <c r="B375" s="5" t="s">
        <v>11</v>
      </c>
      <c r="C375" s="4" t="s">
        <v>1542</v>
      </c>
      <c r="D375" s="4" t="s">
        <v>381</v>
      </c>
      <c r="E375" s="6">
        <v>55</v>
      </c>
      <c r="F375" s="4" t="s">
        <v>890</v>
      </c>
      <c r="G375" s="4" t="s">
        <v>1543</v>
      </c>
      <c r="H375" s="4" t="s">
        <v>1544</v>
      </c>
      <c r="I375" s="5" t="str">
        <f>HYPERLINK("https://search.naver.com/search.naver?where=blog&amp;query=%EC%9D%B4%EC%96%B5%EB%A7%8C%ED%8F%AC%EC%9E%A5%EB%A7%88%EC%B0%A8+%EC%84%9C%EA%B5%AC","블로그 보기")</f>
        <v>블로그 보기</v>
      </c>
      <c r="J375" s="5"/>
      <c r="K375" s="5"/>
      <c r="L375" s="4"/>
      <c r="M375" s="7">
        <v>46222</v>
      </c>
      <c r="N375" s="8">
        <v>63</v>
      </c>
      <c r="O375" s="8">
        <v>95</v>
      </c>
      <c r="P375" s="8">
        <v>481</v>
      </c>
      <c r="Q375" s="8">
        <v>1</v>
      </c>
      <c r="R375" s="8">
        <v>1</v>
      </c>
      <c r="S375" s="4" t="s">
        <v>1316</v>
      </c>
      <c r="T375" s="9">
        <v>36.350418300000001</v>
      </c>
      <c r="U375" s="9">
        <v>127.3760405</v>
      </c>
    </row>
    <row r="376" spans="1:21" ht="32.1" customHeight="1">
      <c r="A376" s="5" t="s">
        <v>36</v>
      </c>
      <c r="B376" s="5" t="s">
        <v>11</v>
      </c>
      <c r="C376" s="4" t="s">
        <v>1545</v>
      </c>
      <c r="D376" s="4" t="s">
        <v>339</v>
      </c>
      <c r="E376" s="6">
        <v>55</v>
      </c>
      <c r="F376" s="4" t="s">
        <v>56</v>
      </c>
      <c r="G376" s="4" t="s">
        <v>1546</v>
      </c>
      <c r="H376" s="4" t="s">
        <v>1547</v>
      </c>
      <c r="I376" s="5" t="str">
        <f>HYPERLINK("https://search.naver.com/search.naver?where=blog&amp;query=%EC%A0%95%EA%B9%80%EB%B0%A5+%EC%84%9C%EA%B5%AC","블로그 보기")</f>
        <v>블로그 보기</v>
      </c>
      <c r="J376" s="5"/>
      <c r="K376" s="5"/>
      <c r="L376" s="4"/>
      <c r="M376" s="7">
        <v>46217</v>
      </c>
      <c r="N376" s="8">
        <v>100</v>
      </c>
      <c r="O376" s="8">
        <v>94</v>
      </c>
      <c r="P376" s="8">
        <v>578</v>
      </c>
      <c r="Q376" s="8">
        <v>1</v>
      </c>
      <c r="R376" s="8">
        <v>1</v>
      </c>
      <c r="S376" s="4" t="s">
        <v>1340</v>
      </c>
      <c r="T376" s="9">
        <v>36.355654800000003</v>
      </c>
      <c r="U376" s="9">
        <v>127.37677650000001</v>
      </c>
    </row>
    <row r="377" spans="1:21" ht="32.1" customHeight="1">
      <c r="A377" s="5" t="s">
        <v>36</v>
      </c>
      <c r="B377" s="5" t="s">
        <v>11</v>
      </c>
      <c r="C377" s="4" t="s">
        <v>1548</v>
      </c>
      <c r="D377" s="4" t="s">
        <v>354</v>
      </c>
      <c r="E377" s="6">
        <v>55</v>
      </c>
      <c r="F377" s="4" t="s">
        <v>45</v>
      </c>
      <c r="G377" s="4" t="s">
        <v>1549</v>
      </c>
      <c r="H377" s="4" t="s">
        <v>1550</v>
      </c>
      <c r="I377" s="5" t="str">
        <f>HYPERLINK("https://search.naver.com/search.naver?where=blog&amp;query=%EC%B9%B4%EC%9D%B4%ED%85%8C%ED%82%A4+%EB%8C%80%EC%A0%84%EC%A0%90+%EC%84%9C%EA%B5%AC","블로그 보기")</f>
        <v>블로그 보기</v>
      </c>
      <c r="J377" s="5" t="str">
        <f>HYPERLINK("https://www.instagram.com/kaiteki042_","업체 보기")</f>
        <v>업체 보기</v>
      </c>
      <c r="K377" s="5"/>
      <c r="L377" s="4"/>
      <c r="M377" s="7">
        <v>46223</v>
      </c>
      <c r="N377" s="8">
        <v>100</v>
      </c>
      <c r="O377" s="8">
        <v>91</v>
      </c>
      <c r="P377" s="8">
        <v>203</v>
      </c>
      <c r="Q377" s="8">
        <v>1</v>
      </c>
      <c r="R377" s="8">
        <v>0</v>
      </c>
      <c r="S377" s="4" t="s">
        <v>1392</v>
      </c>
      <c r="T377" s="9">
        <v>36.348382299999997</v>
      </c>
      <c r="U377" s="9">
        <v>127.38211769999999</v>
      </c>
    </row>
    <row r="378" spans="1:21" ht="32.1" customHeight="1">
      <c r="A378" s="5" t="s">
        <v>36</v>
      </c>
      <c r="B378" s="5" t="s">
        <v>11</v>
      </c>
      <c r="C378" s="4" t="s">
        <v>1551</v>
      </c>
      <c r="D378" s="4" t="s">
        <v>354</v>
      </c>
      <c r="E378" s="6">
        <v>55</v>
      </c>
      <c r="F378" s="4" t="s">
        <v>56</v>
      </c>
      <c r="G378" s="4" t="s">
        <v>1552</v>
      </c>
      <c r="H378" s="4" t="s">
        <v>1553</v>
      </c>
      <c r="I378" s="5" t="str">
        <f>HYPERLINK("https://search.naver.com/search.naver?where=blog&amp;query=%ED%83%80%EC%B8%A0%EC%A7%84+%EC%9A%B0%EB%8F%99+%EC%84%9C%EA%B5%AC","블로그 보기")</f>
        <v>블로그 보기</v>
      </c>
      <c r="J378" s="5" t="str">
        <f>HYPERLINK("https://app.catchtable.co.kr/ct/shop/tatsujinudon","업체 보기")</f>
        <v>업체 보기</v>
      </c>
      <c r="K378" s="5"/>
      <c r="L378" s="4"/>
      <c r="M378" s="7">
        <v>46223</v>
      </c>
      <c r="N378" s="8">
        <v>100</v>
      </c>
      <c r="O378" s="8">
        <v>98</v>
      </c>
      <c r="P378" s="8">
        <v>510</v>
      </c>
      <c r="Q378" s="8">
        <v>1</v>
      </c>
      <c r="R378" s="8">
        <v>1</v>
      </c>
      <c r="S378" s="4" t="s">
        <v>1392</v>
      </c>
      <c r="T378" s="9">
        <v>36.354725899999998</v>
      </c>
      <c r="U378" s="9">
        <v>127.3781036</v>
      </c>
    </row>
    <row r="379" spans="1:21" ht="32.1" customHeight="1">
      <c r="A379" s="5" t="s">
        <v>36</v>
      </c>
      <c r="B379" s="5" t="s">
        <v>11</v>
      </c>
      <c r="C379" s="4" t="s">
        <v>1554</v>
      </c>
      <c r="D379" s="4" t="s">
        <v>125</v>
      </c>
      <c r="E379" s="6">
        <v>54</v>
      </c>
      <c r="F379" s="4" t="s">
        <v>56</v>
      </c>
      <c r="G379" s="4" t="s">
        <v>1555</v>
      </c>
      <c r="H379" s="4" t="s">
        <v>1556</v>
      </c>
      <c r="I379" s="5" t="str">
        <f>HYPERLINK("https://search.naver.com/search.naver?where=blog&amp;query=%EB%8D%94%EB%B2%A0%EC%9D%B4%EC%A7%95+%EC%84%9C%EA%B5%AC","블로그 보기")</f>
        <v>블로그 보기</v>
      </c>
      <c r="J379" s="5"/>
      <c r="K379" s="5"/>
      <c r="L379" s="4"/>
      <c r="M379" s="7">
        <v>46223</v>
      </c>
      <c r="N379" s="8">
        <v>100</v>
      </c>
      <c r="O379" s="8">
        <v>91</v>
      </c>
      <c r="P379" s="8">
        <v>20002</v>
      </c>
      <c r="Q379" s="8">
        <v>1</v>
      </c>
      <c r="R379" s="8">
        <v>0</v>
      </c>
      <c r="S379" s="4" t="s">
        <v>1408</v>
      </c>
      <c r="T379" s="9">
        <v>36.351843700000003</v>
      </c>
      <c r="U379" s="9">
        <v>127.37531439999999</v>
      </c>
    </row>
    <row r="380" spans="1:21" ht="32.1" customHeight="1">
      <c r="A380" s="5" t="s">
        <v>36</v>
      </c>
      <c r="B380" s="5" t="s">
        <v>11</v>
      </c>
      <c r="C380" s="4" t="s">
        <v>1557</v>
      </c>
      <c r="D380" s="4" t="s">
        <v>1326</v>
      </c>
      <c r="E380" s="6">
        <v>54</v>
      </c>
      <c r="F380" s="4" t="s">
        <v>541</v>
      </c>
      <c r="G380" s="4" t="s">
        <v>1558</v>
      </c>
      <c r="H380" s="4" t="s">
        <v>1559</v>
      </c>
      <c r="I380" s="5" t="str">
        <f>HYPERLINK("https://search.naver.com/search.naver?where=blog&amp;query=%EB%AA%85%EB%8F%99%EB%8B%AD%ED%95%9C%EB%A7%88%EB%A6%AC+%EB%91%94%EC%82%B0%EC%9D%84%EC%A7%80%EC%A0%90+%EC%84%9C%EA%B5%AC","블로그 보기")</f>
        <v>블로그 보기</v>
      </c>
      <c r="J380" s="5"/>
      <c r="K380" s="5"/>
      <c r="L380" s="4"/>
      <c r="M380" s="7">
        <v>46210</v>
      </c>
      <c r="N380" s="8">
        <v>67</v>
      </c>
      <c r="O380" s="8">
        <v>98</v>
      </c>
      <c r="P380" s="8">
        <v>247</v>
      </c>
      <c r="Q380" s="8">
        <v>1</v>
      </c>
      <c r="R380" s="8">
        <v>1</v>
      </c>
      <c r="S380" s="4" t="s">
        <v>1312</v>
      </c>
      <c r="T380" s="9">
        <v>36.3541794</v>
      </c>
      <c r="U380" s="9">
        <v>127.38072819999999</v>
      </c>
    </row>
    <row r="381" spans="1:21" ht="32.1" customHeight="1">
      <c r="A381" s="5" t="s">
        <v>36</v>
      </c>
      <c r="B381" s="5" t="s">
        <v>11</v>
      </c>
      <c r="C381" s="4" t="s">
        <v>1560</v>
      </c>
      <c r="D381" s="4" t="s">
        <v>381</v>
      </c>
      <c r="E381" s="6">
        <v>54</v>
      </c>
      <c r="F381" s="4" t="s">
        <v>56</v>
      </c>
      <c r="G381" s="4" t="s">
        <v>1561</v>
      </c>
      <c r="H381" s="4" t="s">
        <v>1562</v>
      </c>
      <c r="I381" s="5" t="str">
        <f>HYPERLINK("https://search.naver.com/search.naver?where=blog&amp;query=%EB%AC%B4%EB%A6%89%EB%8F%84%EC%9B%90+%EC%84%9C%EA%B5%AC","블로그 보기")</f>
        <v>블로그 보기</v>
      </c>
      <c r="J381" s="5" t="str">
        <f>HYPERLINK("https://www.instagram.com/mureung.dn","업체 보기")</f>
        <v>업체 보기</v>
      </c>
      <c r="K381" s="5"/>
      <c r="L381" s="4"/>
      <c r="M381" s="7">
        <v>46223</v>
      </c>
      <c r="N381" s="8">
        <v>100</v>
      </c>
      <c r="O381" s="8">
        <v>98</v>
      </c>
      <c r="P381" s="8">
        <v>2547</v>
      </c>
      <c r="Q381" s="8">
        <v>1</v>
      </c>
      <c r="R381" s="8">
        <v>0</v>
      </c>
      <c r="S381" s="4" t="s">
        <v>1419</v>
      </c>
      <c r="T381" s="9">
        <v>36.348018400000001</v>
      </c>
      <c r="U381" s="9">
        <v>127.3725347</v>
      </c>
    </row>
    <row r="382" spans="1:21" ht="32.1" customHeight="1">
      <c r="A382" s="5" t="s">
        <v>36</v>
      </c>
      <c r="B382" s="5" t="s">
        <v>11</v>
      </c>
      <c r="C382" s="4" t="s">
        <v>1563</v>
      </c>
      <c r="D382" s="4" t="s">
        <v>220</v>
      </c>
      <c r="E382" s="6">
        <v>54</v>
      </c>
      <c r="F382" s="4" t="s">
        <v>56</v>
      </c>
      <c r="G382" s="4" t="s">
        <v>1564</v>
      </c>
      <c r="H382" s="4" t="s">
        <v>1565</v>
      </c>
      <c r="I382" s="5" t="str">
        <f>HYPERLINK("https://search.naver.com/search.naver?where=blog&amp;query=%EC%83%81%EB%AC%B4%EC%B4%88%EB%B0%A5+%EB%91%94%EC%82%B0%EC%A0%90+%EC%84%9C%EA%B5%AC","블로그 보기")</f>
        <v>블로그 보기</v>
      </c>
      <c r="J382" s="5" t="str">
        <f>HYPERLINK("http://pf.kakao.com/_UTwjG","업체 보기")</f>
        <v>업체 보기</v>
      </c>
      <c r="K382" s="5"/>
      <c r="L382" s="4"/>
      <c r="M382" s="7">
        <v>46217</v>
      </c>
      <c r="N382" s="8">
        <v>100</v>
      </c>
      <c r="O382" s="8">
        <v>97</v>
      </c>
      <c r="P382" s="8">
        <v>456</v>
      </c>
      <c r="Q382" s="8">
        <v>1</v>
      </c>
      <c r="R382" s="8">
        <v>1</v>
      </c>
      <c r="S382" s="4" t="s">
        <v>1392</v>
      </c>
      <c r="T382" s="9">
        <v>36.354681300000003</v>
      </c>
      <c r="U382" s="9">
        <v>127.37764490000001</v>
      </c>
    </row>
    <row r="383" spans="1:21" ht="32.1" customHeight="1">
      <c r="A383" s="5" t="s">
        <v>36</v>
      </c>
      <c r="B383" s="5" t="s">
        <v>11</v>
      </c>
      <c r="C383" s="4" t="s">
        <v>1566</v>
      </c>
      <c r="D383" s="4" t="s">
        <v>475</v>
      </c>
      <c r="E383" s="6">
        <v>54</v>
      </c>
      <c r="F383" s="4" t="s">
        <v>56</v>
      </c>
      <c r="G383" s="4" t="s">
        <v>1567</v>
      </c>
      <c r="H383" s="4" t="s">
        <v>1568</v>
      </c>
      <c r="I383" s="5" t="str">
        <f>HYPERLINK("https://search.naver.com/search.naver?where=blog&amp;query=%EC%84%A4%EB%8F%84+%EC%84%9C%EA%B5%AC","블로그 보기")</f>
        <v>블로그 보기</v>
      </c>
      <c r="J383" s="5"/>
      <c r="K383" s="5"/>
      <c r="L383" s="4"/>
      <c r="M383" s="7">
        <v>46223</v>
      </c>
      <c r="N383" s="8">
        <v>100</v>
      </c>
      <c r="O383" s="8">
        <v>99</v>
      </c>
      <c r="P383" s="8">
        <v>6543</v>
      </c>
      <c r="Q383" s="8">
        <v>1</v>
      </c>
      <c r="R383" s="8">
        <v>0</v>
      </c>
      <c r="S383" s="4" t="s">
        <v>1419</v>
      </c>
      <c r="T383" s="9">
        <v>36.351385399999998</v>
      </c>
      <c r="U383" s="9">
        <v>127.3733933</v>
      </c>
    </row>
    <row r="384" spans="1:21" ht="32.1" customHeight="1">
      <c r="A384" s="5" t="s">
        <v>36</v>
      </c>
      <c r="B384" s="5" t="s">
        <v>11</v>
      </c>
      <c r="C384" s="4" t="s">
        <v>1569</v>
      </c>
      <c r="D384" s="4" t="s">
        <v>1041</v>
      </c>
      <c r="E384" s="6">
        <v>54</v>
      </c>
      <c r="F384" s="4" t="s">
        <v>56</v>
      </c>
      <c r="G384" s="4" t="s">
        <v>1570</v>
      </c>
      <c r="H384" s="4" t="s">
        <v>1571</v>
      </c>
      <c r="I384" s="5" t="str">
        <f>HYPERLINK("https://search.naver.com/search.naver?where=blog&amp;query=%EC%86%8C%EB%A6%AC+%EC%84%9C%EA%B5%AC","블로그 보기")</f>
        <v>블로그 보기</v>
      </c>
      <c r="J384" s="5" t="str">
        <f>HYPERLINK("https://app.catchtable.co.kr/ct/shop/sori","업체 보기")</f>
        <v>업체 보기</v>
      </c>
      <c r="K384" s="5"/>
      <c r="L384" s="4"/>
      <c r="M384" s="7">
        <v>46223</v>
      </c>
      <c r="N384" s="8">
        <v>100</v>
      </c>
      <c r="O384" s="8">
        <v>66</v>
      </c>
      <c r="P384" s="8">
        <v>371821</v>
      </c>
      <c r="Q384" s="8">
        <v>1</v>
      </c>
      <c r="R384" s="8">
        <v>0</v>
      </c>
      <c r="S384" s="4" t="s">
        <v>1392</v>
      </c>
      <c r="T384" s="9">
        <v>36.353317199999999</v>
      </c>
      <c r="U384" s="9">
        <v>127.3822565</v>
      </c>
    </row>
    <row r="385" spans="1:21" ht="32.1" customHeight="1">
      <c r="A385" s="5" t="s">
        <v>36</v>
      </c>
      <c r="B385" s="5" t="s">
        <v>11</v>
      </c>
      <c r="C385" s="4" t="s">
        <v>1572</v>
      </c>
      <c r="D385" s="4" t="s">
        <v>125</v>
      </c>
      <c r="E385" s="6">
        <v>54</v>
      </c>
      <c r="F385" s="4" t="s">
        <v>263</v>
      </c>
      <c r="G385" s="4" t="s">
        <v>1573</v>
      </c>
      <c r="H385" s="4" t="s">
        <v>1574</v>
      </c>
      <c r="I385" s="5" t="str">
        <f>HYPERLINK("https://search.naver.com/search.naver?where=blog&amp;query=%EC%9B%90%EC%82%B0%EC%8B%9C%EB%8F%84%EC%82%AD%EB%A9%B4+%EC%84%9C%EA%B5%AC","블로그 보기")</f>
        <v>블로그 보기</v>
      </c>
      <c r="J385" s="5" t="str">
        <f>HYPERLINK("https://www.instagram.com/won_shanxi","업체 보기")</f>
        <v>업체 보기</v>
      </c>
      <c r="K385" s="5"/>
      <c r="L385" s="4"/>
      <c r="M385" s="7">
        <v>46209</v>
      </c>
      <c r="N385" s="8">
        <v>70</v>
      </c>
      <c r="O385" s="8">
        <v>95</v>
      </c>
      <c r="P385" s="8">
        <v>442</v>
      </c>
      <c r="Q385" s="8">
        <v>1</v>
      </c>
      <c r="R385" s="8">
        <v>1</v>
      </c>
      <c r="S385" s="4" t="s">
        <v>1408</v>
      </c>
      <c r="T385" s="9">
        <v>36.350810000000003</v>
      </c>
      <c r="U385" s="9">
        <v>127.3755366</v>
      </c>
    </row>
    <row r="386" spans="1:21" ht="32.1" customHeight="1">
      <c r="A386" s="5" t="s">
        <v>36</v>
      </c>
      <c r="B386" s="5" t="s">
        <v>11</v>
      </c>
      <c r="C386" s="4" t="s">
        <v>1575</v>
      </c>
      <c r="D386" s="4" t="s">
        <v>125</v>
      </c>
      <c r="E386" s="6">
        <v>54</v>
      </c>
      <c r="F386" s="4" t="s">
        <v>56</v>
      </c>
      <c r="G386" s="4" t="s">
        <v>1576</v>
      </c>
      <c r="H386" s="4" t="s">
        <v>1577</v>
      </c>
      <c r="I386" s="5" t="str">
        <f>HYPERLINK("https://search.naver.com/search.naver?where=blog&amp;query=%ED%83%9C%EC%9B%90+%EC%84%9C%EA%B5%AC","블로그 보기")</f>
        <v>블로그 보기</v>
      </c>
      <c r="J386" s="5"/>
      <c r="K386" s="5"/>
      <c r="L386" s="4"/>
      <c r="M386" s="7">
        <v>46220</v>
      </c>
      <c r="N386" s="8">
        <v>100</v>
      </c>
      <c r="O386" s="8">
        <v>97</v>
      </c>
      <c r="P386" s="8">
        <v>3124</v>
      </c>
      <c r="Q386" s="8">
        <v>1</v>
      </c>
      <c r="R386" s="8">
        <v>0</v>
      </c>
      <c r="S386" s="4" t="s">
        <v>1408</v>
      </c>
      <c r="T386" s="9">
        <v>36.346217600000003</v>
      </c>
      <c r="U386" s="9">
        <v>127.3816771</v>
      </c>
    </row>
    <row r="387" spans="1:21" ht="32.1" customHeight="1">
      <c r="A387" s="5" t="s">
        <v>36</v>
      </c>
      <c r="B387" s="5" t="s">
        <v>11</v>
      </c>
      <c r="C387" s="4" t="s">
        <v>1578</v>
      </c>
      <c r="D387" s="4" t="s">
        <v>1579</v>
      </c>
      <c r="E387" s="6">
        <v>53</v>
      </c>
      <c r="F387" s="4" t="s">
        <v>371</v>
      </c>
      <c r="G387" s="4" t="s">
        <v>1580</v>
      </c>
      <c r="H387" s="4" t="s">
        <v>1581</v>
      </c>
      <c r="I387" s="5" t="str">
        <f>HYPERLINK("https://search.naver.com/search.naver?where=blog&amp;query=%EB%B2%94%EC%9D%B4%EB%84%A4%EC%88%AF%EB%B6%88%EA%B5%AC%EC%9D%B4+%EC%84%9C%EA%B5%AC","블로그 보기")</f>
        <v>블로그 보기</v>
      </c>
      <c r="J387" s="5" t="str">
        <f>HYPERLINK("https://www.instagram.com/leesungbeom_1982/","업체 보기")</f>
        <v>업체 보기</v>
      </c>
      <c r="K387" s="5"/>
      <c r="L387" s="4"/>
      <c r="M387" s="7">
        <v>46218</v>
      </c>
      <c r="N387" s="8">
        <v>66</v>
      </c>
      <c r="O387" s="8">
        <v>98</v>
      </c>
      <c r="P387" s="8">
        <v>202</v>
      </c>
      <c r="Q387" s="8">
        <v>1</v>
      </c>
      <c r="R387" s="8">
        <v>1</v>
      </c>
      <c r="S387" s="4" t="s">
        <v>1495</v>
      </c>
      <c r="T387" s="9">
        <v>36.347773799999999</v>
      </c>
      <c r="U387" s="9">
        <v>127.3756894</v>
      </c>
    </row>
    <row r="388" spans="1:21" ht="32.1" customHeight="1">
      <c r="A388" s="5" t="s">
        <v>36</v>
      </c>
      <c r="B388" s="5" t="s">
        <v>11</v>
      </c>
      <c r="C388" s="4" t="s">
        <v>1582</v>
      </c>
      <c r="D388" s="4" t="s">
        <v>71</v>
      </c>
      <c r="E388" s="6">
        <v>53</v>
      </c>
      <c r="F388" s="4" t="s">
        <v>586</v>
      </c>
      <c r="G388" s="4" t="s">
        <v>1583</v>
      </c>
      <c r="H388" s="4" t="s">
        <v>1584</v>
      </c>
      <c r="I388" s="5" t="str">
        <f>HYPERLINK("https://search.naver.com/search.naver?where=blog&amp;query=%EC%8B%9C%EC%9D%B8%EC%9D%98+%EB%B0%94%EB%8B%A4+%EC%84%9C%EA%B5%AC","블로그 보기")</f>
        <v>블로그 보기</v>
      </c>
      <c r="J388" s="5" t="str">
        <f>HYPERLINK("https://blog.naver.com/farewell7","업체 보기")</f>
        <v>업체 보기</v>
      </c>
      <c r="K388" s="5"/>
      <c r="L388" s="4"/>
      <c r="M388" s="7">
        <v>46180</v>
      </c>
      <c r="N388" s="8">
        <v>34</v>
      </c>
      <c r="O388" s="8">
        <v>93</v>
      </c>
      <c r="P388" s="8">
        <v>209</v>
      </c>
      <c r="Q388" s="8">
        <v>1</v>
      </c>
      <c r="R388" s="8">
        <v>1</v>
      </c>
      <c r="S388" s="4" t="s">
        <v>1495</v>
      </c>
      <c r="T388" s="9">
        <v>36.349739</v>
      </c>
      <c r="U388" s="9">
        <v>127.3677721</v>
      </c>
    </row>
    <row r="389" spans="1:21" ht="32.1" customHeight="1">
      <c r="A389" s="5" t="s">
        <v>36</v>
      </c>
      <c r="B389" s="5" t="s">
        <v>11</v>
      </c>
      <c r="C389" s="4" t="s">
        <v>1585</v>
      </c>
      <c r="D389" s="4" t="s">
        <v>71</v>
      </c>
      <c r="E389" s="6">
        <v>53</v>
      </c>
      <c r="F389" s="4" t="s">
        <v>586</v>
      </c>
      <c r="G389" s="4" t="s">
        <v>1586</v>
      </c>
      <c r="H389" s="4" t="s">
        <v>1587</v>
      </c>
      <c r="I389" s="5" t="str">
        <f>HYPERLINK("https://search.naver.com/search.naver?where=blog&amp;query=%EC%98%A4%EA%B0%80%EB%84%A4%EB%8C%80%EA%B5%AC%EC%99%95%EB%BD%88%EB%96%BC%EA%B8%B0+%EC%95%84%EA%B5%AC%EB%8F%84%EB%B0%9C+%EC%84%9C%EA%B5%AC","블로그 보기")</f>
        <v>블로그 보기</v>
      </c>
      <c r="J389" s="5"/>
      <c r="K389" s="5"/>
      <c r="L389" s="4"/>
      <c r="M389" s="7">
        <v>46218</v>
      </c>
      <c r="N389" s="8">
        <v>34</v>
      </c>
      <c r="O389" s="8">
        <v>79</v>
      </c>
      <c r="P389" s="8">
        <v>93</v>
      </c>
      <c r="Q389" s="8">
        <v>2</v>
      </c>
      <c r="R389" s="8">
        <v>0</v>
      </c>
      <c r="S389" s="4" t="s">
        <v>1308</v>
      </c>
      <c r="T389" s="9">
        <v>36.349079000000003</v>
      </c>
      <c r="U389" s="9">
        <v>127.3689272</v>
      </c>
    </row>
    <row r="390" spans="1:21" ht="32.1" customHeight="1">
      <c r="A390" s="5" t="s">
        <v>36</v>
      </c>
      <c r="B390" s="5" t="s">
        <v>11</v>
      </c>
      <c r="C390" s="4" t="s">
        <v>1588</v>
      </c>
      <c r="D390" s="4" t="s">
        <v>65</v>
      </c>
      <c r="E390" s="6">
        <v>53</v>
      </c>
      <c r="F390" s="4" t="s">
        <v>56</v>
      </c>
      <c r="G390" s="4" t="s">
        <v>1589</v>
      </c>
      <c r="H390" s="4" t="s">
        <v>1590</v>
      </c>
      <c r="I390" s="5" t="str">
        <f>HYPERLINK("https://search.naver.com/search.naver?where=blog&amp;query=%EC%98%A4%EB%A7%88%EC%B9%B4%EC%84%B8%ED%82%A4%EC%B9%9C+%EC%84%9C%EA%B5%AC","블로그 보기")</f>
        <v>블로그 보기</v>
      </c>
      <c r="J390" s="5" t="str">
        <f>HYPERLINK("http://omakase-kitchen.zeep.kr/","업체 보기")</f>
        <v>업체 보기</v>
      </c>
      <c r="K390" s="5"/>
      <c r="L390" s="4"/>
      <c r="M390" s="7">
        <v>46222</v>
      </c>
      <c r="N390" s="8">
        <v>100</v>
      </c>
      <c r="O390" s="8">
        <v>97</v>
      </c>
      <c r="P390" s="8">
        <v>1154</v>
      </c>
      <c r="Q390" s="8">
        <v>1</v>
      </c>
      <c r="R390" s="8">
        <v>0</v>
      </c>
      <c r="S390" s="4" t="s">
        <v>1376</v>
      </c>
      <c r="T390" s="9">
        <v>36.354072199999997</v>
      </c>
      <c r="U390" s="9">
        <v>127.377737</v>
      </c>
    </row>
    <row r="391" spans="1:21" ht="32.1" customHeight="1">
      <c r="A391" s="5" t="s">
        <v>36</v>
      </c>
      <c r="B391" s="5" t="s">
        <v>11</v>
      </c>
      <c r="C391" s="4" t="s">
        <v>1591</v>
      </c>
      <c r="D391" s="4" t="s">
        <v>381</v>
      </c>
      <c r="E391" s="6">
        <v>53</v>
      </c>
      <c r="F391" s="4" t="s">
        <v>56</v>
      </c>
      <c r="G391" s="4" t="s">
        <v>1592</v>
      </c>
      <c r="H391" s="4" t="s">
        <v>1593</v>
      </c>
      <c r="I391" s="5" t="str">
        <f>HYPERLINK("https://search.naver.com/search.naver?where=blog&amp;query=%EC%9A%A9%EC%A3%BC+%EC%84%9C%EA%B5%AC","블로그 보기")</f>
        <v>블로그 보기</v>
      </c>
      <c r="J391" s="5" t="str">
        <f>HYPERLINK("https://www.instagram.com/yongju4000?igsh=amtwam1yN29jcW1y&amp;utm_source=qr","업체 보기")</f>
        <v>업체 보기</v>
      </c>
      <c r="K391" s="5"/>
      <c r="L391" s="4"/>
      <c r="M391" s="7">
        <v>46223</v>
      </c>
      <c r="N391" s="8">
        <v>100</v>
      </c>
      <c r="O391" s="8">
        <v>98</v>
      </c>
      <c r="P391" s="8">
        <v>1589</v>
      </c>
      <c r="Q391" s="8">
        <v>1</v>
      </c>
      <c r="R391" s="8">
        <v>0</v>
      </c>
      <c r="S391" s="4" t="s">
        <v>1495</v>
      </c>
      <c r="T391" s="9">
        <v>36.348698200000001</v>
      </c>
      <c r="U391" s="9">
        <v>127.3745625</v>
      </c>
    </row>
    <row r="392" spans="1:21" ht="32.1" customHeight="1">
      <c r="A392" s="5" t="s">
        <v>36</v>
      </c>
      <c r="B392" s="5" t="s">
        <v>11</v>
      </c>
      <c r="C392" s="4" t="s">
        <v>1594</v>
      </c>
      <c r="D392" s="4" t="s">
        <v>181</v>
      </c>
      <c r="E392" s="6">
        <v>53</v>
      </c>
      <c r="F392" s="4" t="s">
        <v>439</v>
      </c>
      <c r="G392" s="4" t="s">
        <v>1595</v>
      </c>
      <c r="H392" s="4" t="s">
        <v>1596</v>
      </c>
      <c r="I392" s="5" t="str">
        <f>HYPERLINK("https://search.naver.com/search.naver?where=blog&amp;query=%EC%9D%B4%EB%B9%84%EA%B0%80%EC%A7%AC%EB%BD%95+%EC%8B%9C%EC%B2%AD%EC%A0%90+%EC%84%9C%EA%B5%AC","블로그 보기")</f>
        <v>블로그 보기</v>
      </c>
      <c r="J392" s="5"/>
      <c r="K392" s="5"/>
      <c r="L392" s="4"/>
      <c r="M392" s="7">
        <v>46213</v>
      </c>
      <c r="N392" s="8">
        <v>18</v>
      </c>
      <c r="O392" s="8">
        <v>76</v>
      </c>
      <c r="P392" s="8">
        <v>120</v>
      </c>
      <c r="Q392" s="8">
        <v>1</v>
      </c>
      <c r="R392" s="8">
        <v>1</v>
      </c>
      <c r="S392" s="4" t="s">
        <v>1408</v>
      </c>
      <c r="T392" s="9">
        <v>36.350339400000003</v>
      </c>
      <c r="U392" s="9">
        <v>127.38782670000001</v>
      </c>
    </row>
    <row r="393" spans="1:21" ht="32.1" customHeight="1">
      <c r="A393" s="5" t="s">
        <v>36</v>
      </c>
      <c r="B393" s="5" t="s">
        <v>11</v>
      </c>
      <c r="C393" s="4" t="s">
        <v>1597</v>
      </c>
      <c r="D393" s="4" t="s">
        <v>1598</v>
      </c>
      <c r="E393" s="6">
        <v>53</v>
      </c>
      <c r="F393" s="4" t="s">
        <v>1599</v>
      </c>
      <c r="G393" s="4" t="s">
        <v>1600</v>
      </c>
      <c r="H393" s="4" t="s">
        <v>1601</v>
      </c>
      <c r="I393" s="5" t="str">
        <f>HYPERLINK("https://search.naver.com/search.naver?where=blog&amp;query=%EC%A1%B1%EB%B0%9C%EC%9D%B4%EB%9E%91%EC%B9%BC%EA%B5%AD%EC%8B%9C+%EC%84%9C%EA%B5%AC","블로그 보기")</f>
        <v>블로그 보기</v>
      </c>
      <c r="J393" s="5"/>
      <c r="K393" s="5"/>
      <c r="L393" s="4"/>
      <c r="M393" s="7">
        <v>46133</v>
      </c>
      <c r="N393" s="8">
        <v>41</v>
      </c>
      <c r="O393" s="8">
        <v>52</v>
      </c>
      <c r="P393" s="8">
        <v>103</v>
      </c>
      <c r="Q393" s="8">
        <v>1</v>
      </c>
      <c r="R393" s="8">
        <v>1</v>
      </c>
      <c r="S393" s="4" t="s">
        <v>1381</v>
      </c>
      <c r="T393" s="9">
        <v>36.341067799999998</v>
      </c>
      <c r="U393" s="9">
        <v>127.37679850000001</v>
      </c>
    </row>
    <row r="394" spans="1:21" ht="32.1" customHeight="1">
      <c r="A394" s="5" t="s">
        <v>36</v>
      </c>
      <c r="B394" s="5" t="s">
        <v>11</v>
      </c>
      <c r="C394" s="4" t="s">
        <v>1602</v>
      </c>
      <c r="D394" s="4" t="s">
        <v>475</v>
      </c>
      <c r="E394" s="6">
        <v>53</v>
      </c>
      <c r="F394" s="4" t="s">
        <v>1137</v>
      </c>
      <c r="G394" s="4" t="s">
        <v>1603</v>
      </c>
      <c r="H394" s="4" t="s">
        <v>1604</v>
      </c>
      <c r="I394" s="5" t="str">
        <f>HYPERLINK("https://search.naver.com/search.naver?where=blog&amp;query=%EC%B9%B4%EC%9A%B0%EC%B9%B4%EC%9A%B0+%EB%91%94%EC%82%B0%EC%A0%90+%EC%84%9C%EA%B5%AC","블로그 보기")</f>
        <v>블로그 보기</v>
      </c>
      <c r="J394" s="5"/>
      <c r="K394" s="5"/>
      <c r="L394" s="4"/>
      <c r="M394" s="7">
        <v>46218</v>
      </c>
      <c r="N394" s="8">
        <v>87</v>
      </c>
      <c r="O394" s="8">
        <v>87</v>
      </c>
      <c r="P394" s="8">
        <v>87</v>
      </c>
      <c r="Q394" s="8">
        <v>2</v>
      </c>
      <c r="R394" s="8">
        <v>0</v>
      </c>
      <c r="S394" s="4" t="s">
        <v>1605</v>
      </c>
      <c r="T394" s="9">
        <v>36.351269600000002</v>
      </c>
      <c r="U394" s="9">
        <v>127.376305</v>
      </c>
    </row>
    <row r="395" spans="1:21" ht="32.1" customHeight="1">
      <c r="A395" s="5" t="s">
        <v>36</v>
      </c>
      <c r="B395" s="5" t="s">
        <v>11</v>
      </c>
      <c r="C395" s="4" t="s">
        <v>1606</v>
      </c>
      <c r="D395" s="4" t="s">
        <v>306</v>
      </c>
      <c r="E395" s="6">
        <v>52</v>
      </c>
      <c r="F395" s="4" t="s">
        <v>56</v>
      </c>
      <c r="G395" s="4" t="s">
        <v>1607</v>
      </c>
      <c r="H395" s="4" t="s">
        <v>1608</v>
      </c>
      <c r="I395" s="5" t="str">
        <f>HYPERLINK("https://search.naver.com/search.naver?where=blog&amp;query=%EB%8F%99%EB%B0%B1%EC%B9%B4%EC%B8%A0+%EB%91%94%EC%82%B0%EC%A0%90+%EC%84%9C%EA%B5%AC","블로그 보기")</f>
        <v>블로그 보기</v>
      </c>
      <c r="J395" s="5" t="str">
        <f>HYPERLINK("https://www.instagram.com/dongbaek.cutlet/","업체 보기")</f>
        <v>업체 보기</v>
      </c>
      <c r="K395" s="5"/>
      <c r="L395" s="4"/>
      <c r="M395" s="7">
        <v>46222</v>
      </c>
      <c r="N395" s="8">
        <v>100</v>
      </c>
      <c r="O395" s="8">
        <v>98</v>
      </c>
      <c r="P395" s="8">
        <v>491</v>
      </c>
      <c r="Q395" s="8">
        <v>1</v>
      </c>
      <c r="R395" s="8">
        <v>0</v>
      </c>
      <c r="S395" s="4" t="s">
        <v>1360</v>
      </c>
      <c r="T395" s="9">
        <v>36.3543187</v>
      </c>
      <c r="U395" s="9">
        <v>127.37766070000001</v>
      </c>
    </row>
    <row r="396" spans="1:21" ht="32.1" customHeight="1">
      <c r="A396" s="5" t="s">
        <v>36</v>
      </c>
      <c r="B396" s="5" t="s">
        <v>11</v>
      </c>
      <c r="C396" s="4" t="s">
        <v>1609</v>
      </c>
      <c r="D396" s="4" t="s">
        <v>96</v>
      </c>
      <c r="E396" s="6">
        <v>52</v>
      </c>
      <c r="F396" s="4" t="s">
        <v>1020</v>
      </c>
      <c r="G396" s="4" t="s">
        <v>1610</v>
      </c>
      <c r="H396" s="4" t="s">
        <v>1611</v>
      </c>
      <c r="I396" s="5" t="str">
        <f>HYPERLINK("https://search.naver.com/search.naver?where=blog&amp;query=%EB%A7%8C%EC%A0%84+%EB%8C%80%EC%A0%84%EC%8B%9C%EC%B2%AD%EC%A0%90+%EC%84%9C%EA%B5%AC","블로그 보기")</f>
        <v>블로그 보기</v>
      </c>
      <c r="J396" s="5"/>
      <c r="K396" s="5"/>
      <c r="L396" s="4"/>
      <c r="M396" s="7">
        <v>46209</v>
      </c>
      <c r="N396" s="8">
        <v>11</v>
      </c>
      <c r="O396" s="8">
        <v>12</v>
      </c>
      <c r="P396" s="8">
        <v>12</v>
      </c>
      <c r="Q396" s="8">
        <v>1</v>
      </c>
      <c r="R396" s="8">
        <v>0</v>
      </c>
      <c r="S396" s="4" t="s">
        <v>1395</v>
      </c>
      <c r="T396" s="9">
        <v>36.349905100000001</v>
      </c>
      <c r="U396" s="9">
        <v>127.3878115</v>
      </c>
    </row>
    <row r="397" spans="1:21" ht="32.1" customHeight="1">
      <c r="A397" s="5" t="s">
        <v>36</v>
      </c>
      <c r="B397" s="5" t="s">
        <v>11</v>
      </c>
      <c r="C397" s="4" t="s">
        <v>1612</v>
      </c>
      <c r="D397" s="4" t="s">
        <v>96</v>
      </c>
      <c r="E397" s="6">
        <v>52</v>
      </c>
      <c r="F397" s="4" t="s">
        <v>439</v>
      </c>
      <c r="G397" s="4" t="s">
        <v>1613</v>
      </c>
      <c r="H397" s="4" t="s">
        <v>1614</v>
      </c>
      <c r="I397" s="5" t="str">
        <f>HYPERLINK("https://search.naver.com/search.naver?where=blog&amp;query=%EB%A7%9B%EC%B0%AC%EB%93%A4%EC%99%95%EC%86%8C%EA%B8%88%EA%B5%AC%EC%9D%B4+%EB%91%94%EC%82%B0%EC%A0%90+%EC%84%9C%EA%B5%AC","블로그 보기")</f>
        <v>블로그 보기</v>
      </c>
      <c r="J397" s="5"/>
      <c r="K397" s="5"/>
      <c r="L397" s="4"/>
      <c r="M397" s="7">
        <v>46218</v>
      </c>
      <c r="N397" s="8">
        <v>18</v>
      </c>
      <c r="O397" s="8">
        <v>77</v>
      </c>
      <c r="P397" s="8">
        <v>82</v>
      </c>
      <c r="Q397" s="8">
        <v>1</v>
      </c>
      <c r="R397" s="8">
        <v>1</v>
      </c>
      <c r="S397" s="4" t="s">
        <v>1395</v>
      </c>
      <c r="T397" s="9">
        <v>36.350674099999999</v>
      </c>
      <c r="U397" s="9">
        <v>127.3878247</v>
      </c>
    </row>
    <row r="398" spans="1:21" ht="32.1" customHeight="1">
      <c r="A398" s="5" t="s">
        <v>36</v>
      </c>
      <c r="B398" s="5" t="s">
        <v>11</v>
      </c>
      <c r="C398" s="4" t="s">
        <v>1615</v>
      </c>
      <c r="D398" s="4" t="s">
        <v>354</v>
      </c>
      <c r="E398" s="6">
        <v>52</v>
      </c>
      <c r="F398" s="4" t="s">
        <v>56</v>
      </c>
      <c r="G398" s="4" t="s">
        <v>1616</v>
      </c>
      <c r="H398" s="4" t="s">
        <v>1617</v>
      </c>
      <c r="I398" s="5" t="str">
        <f>HYPERLINK("https://search.naver.com/search.naver?where=blog&amp;query=%EB%AA%A8%EB%A6%AC%EC%95%84+%EC%84%9C%EA%B5%AC","블로그 보기")</f>
        <v>블로그 보기</v>
      </c>
      <c r="J398" s="5" t="str">
        <f>HYPERLINK("https://www.instagram.com/moria._.officially","업체 보기")</f>
        <v>업체 보기</v>
      </c>
      <c r="K398" s="5"/>
      <c r="L398" s="4"/>
      <c r="M398" s="7">
        <v>46222</v>
      </c>
      <c r="N398" s="8">
        <v>100</v>
      </c>
      <c r="O398" s="8">
        <v>100</v>
      </c>
      <c r="P398" s="8">
        <v>725</v>
      </c>
      <c r="Q398" s="8">
        <v>1</v>
      </c>
      <c r="R398" s="8">
        <v>0</v>
      </c>
      <c r="S398" s="4" t="s">
        <v>1392</v>
      </c>
      <c r="T398" s="9">
        <v>36.349592100000002</v>
      </c>
      <c r="U398" s="9">
        <v>127.3886675</v>
      </c>
    </row>
    <row r="399" spans="1:21" ht="32.1" customHeight="1">
      <c r="A399" s="5" t="s">
        <v>36</v>
      </c>
      <c r="B399" s="5" t="s">
        <v>11</v>
      </c>
      <c r="C399" s="4" t="s">
        <v>1618</v>
      </c>
      <c r="D399" s="4" t="s">
        <v>44</v>
      </c>
      <c r="E399" s="6">
        <v>52</v>
      </c>
      <c r="F399" s="4" t="s">
        <v>1619</v>
      </c>
      <c r="G399" s="4" t="s">
        <v>1620</v>
      </c>
      <c r="H399" s="4" t="s">
        <v>1621</v>
      </c>
      <c r="I399" s="5" t="str">
        <f>HYPERLINK("https://search.naver.com/search.naver?where=blog&amp;query=%EC%8B%A0%EC%84%A0%EC%B9%A1%EB%83%89%EB%A9%B4+%EC%84%9C%EA%B5%AC","블로그 보기")</f>
        <v>블로그 보기</v>
      </c>
      <c r="J399" s="5"/>
      <c r="K399" s="5"/>
      <c r="L399" s="4"/>
      <c r="M399" s="7">
        <v>46220</v>
      </c>
      <c r="N399" s="8">
        <v>99</v>
      </c>
      <c r="O399" s="8">
        <v>97</v>
      </c>
      <c r="P399" s="8">
        <v>606</v>
      </c>
      <c r="Q399" s="8">
        <v>1</v>
      </c>
      <c r="R399" s="8">
        <v>0</v>
      </c>
      <c r="S399" s="4" t="s">
        <v>1344</v>
      </c>
      <c r="T399" s="9">
        <v>36.350007699999999</v>
      </c>
      <c r="U399" s="9">
        <v>127.3980754</v>
      </c>
    </row>
    <row r="400" spans="1:21" ht="32.1" customHeight="1">
      <c r="A400" s="5" t="s">
        <v>36</v>
      </c>
      <c r="B400" s="5" t="s">
        <v>11</v>
      </c>
      <c r="C400" s="4" t="s">
        <v>1622</v>
      </c>
      <c r="D400" s="4" t="s">
        <v>55</v>
      </c>
      <c r="E400" s="6">
        <v>52</v>
      </c>
      <c r="F400" s="4" t="s">
        <v>434</v>
      </c>
      <c r="G400" s="4" t="s">
        <v>1623</v>
      </c>
      <c r="H400" s="4" t="s">
        <v>1624</v>
      </c>
      <c r="I400" s="5" t="str">
        <f>HYPERLINK("https://search.naver.com/search.naver?where=blog&amp;query=%EC%B6%94%EC%84%B1%EC%88%9C%EB%8C%80%EC%A1%B1%EB%B0%9C+%EC%84%9C%EA%B5%AC","블로그 보기")</f>
        <v>블로그 보기</v>
      </c>
      <c r="J400" s="5"/>
      <c r="K400" s="5"/>
      <c r="L400" s="4"/>
      <c r="M400" s="7">
        <v>46220</v>
      </c>
      <c r="N400" s="8">
        <v>38</v>
      </c>
      <c r="O400" s="8">
        <v>54</v>
      </c>
      <c r="P400" s="8">
        <v>88</v>
      </c>
      <c r="Q400" s="8">
        <v>1</v>
      </c>
      <c r="R400" s="8">
        <v>1</v>
      </c>
      <c r="S400" s="4" t="s">
        <v>1312</v>
      </c>
      <c r="T400" s="9">
        <v>36.358873000000003</v>
      </c>
      <c r="U400" s="9">
        <v>127.38922820000001</v>
      </c>
    </row>
    <row r="401" spans="1:21" ht="32.1" customHeight="1">
      <c r="A401" s="5" t="s">
        <v>36</v>
      </c>
      <c r="B401" s="5" t="s">
        <v>11</v>
      </c>
      <c r="C401" s="4" t="s">
        <v>1625</v>
      </c>
      <c r="D401" s="4" t="s">
        <v>231</v>
      </c>
      <c r="E401" s="6">
        <v>51</v>
      </c>
      <c r="F401" s="4" t="s">
        <v>1196</v>
      </c>
      <c r="G401" s="4" t="s">
        <v>1626</v>
      </c>
      <c r="H401" s="4" t="s">
        <v>1627</v>
      </c>
      <c r="I401" s="5" t="str">
        <f>HYPERLINK("https://search.naver.com/search.naver?where=blog&amp;query=%EB%91%94%EC%82%B0%EC%A3%BC%EB%A8%B9%EA%B5%AC%EC%9D%B4+%EC%84%9C%EA%B5%AC","블로그 보기")</f>
        <v>블로그 보기</v>
      </c>
      <c r="J401" s="5"/>
      <c r="K401" s="5"/>
      <c r="L401" s="4"/>
      <c r="M401" s="7">
        <v>46222</v>
      </c>
      <c r="N401" s="8">
        <v>96</v>
      </c>
      <c r="O401" s="8">
        <v>96</v>
      </c>
      <c r="P401" s="8">
        <v>447</v>
      </c>
      <c r="Q401" s="8">
        <v>1</v>
      </c>
      <c r="R401" s="8">
        <v>0</v>
      </c>
      <c r="S401" s="4" t="s">
        <v>1419</v>
      </c>
      <c r="T401" s="9">
        <v>36.352385300000002</v>
      </c>
      <c r="U401" s="9">
        <v>127.37389349999999</v>
      </c>
    </row>
    <row r="402" spans="1:21" ht="32.1" customHeight="1">
      <c r="A402" s="5" t="s">
        <v>36</v>
      </c>
      <c r="B402" s="5" t="s">
        <v>13</v>
      </c>
      <c r="C402" s="4" t="s">
        <v>1628</v>
      </c>
      <c r="D402" s="4" t="s">
        <v>38</v>
      </c>
      <c r="E402" s="6">
        <v>82</v>
      </c>
      <c r="F402" s="4" t="s">
        <v>39</v>
      </c>
      <c r="G402" s="4" t="s">
        <v>1629</v>
      </c>
      <c r="H402" s="4" t="s">
        <v>1630</v>
      </c>
      <c r="I402" s="5" t="str">
        <f>HYPERLINK("https://search.naver.com/search.naver?where=blog&amp;query=%EB%8B%A4%EC%98%AC%EC%B9%BC%EA%B5%AD%EC%88%98+%EC%A4%91%EA%B5%AC","블로그 보기")</f>
        <v>블로그 보기</v>
      </c>
      <c r="J402" s="5"/>
      <c r="K402" s="5"/>
      <c r="L402" s="4"/>
      <c r="M402" s="7">
        <v>46207</v>
      </c>
      <c r="N402" s="8">
        <v>100</v>
      </c>
      <c r="O402" s="8">
        <v>95</v>
      </c>
      <c r="P402" s="8">
        <v>925</v>
      </c>
      <c r="Q402" s="8">
        <v>6</v>
      </c>
      <c r="R402" s="8">
        <v>3</v>
      </c>
      <c r="S402" s="4" t="s">
        <v>1631</v>
      </c>
      <c r="T402" s="9">
        <v>36.310389200000003</v>
      </c>
      <c r="U402" s="9">
        <v>127.41074709999999</v>
      </c>
    </row>
    <row r="403" spans="1:21" ht="32.1" customHeight="1">
      <c r="A403" s="5" t="s">
        <v>36</v>
      </c>
      <c r="B403" s="5" t="s">
        <v>13</v>
      </c>
      <c r="C403" s="4" t="s">
        <v>1632</v>
      </c>
      <c r="D403" s="4" t="s">
        <v>38</v>
      </c>
      <c r="E403" s="6">
        <v>81</v>
      </c>
      <c r="F403" s="4" t="s">
        <v>39</v>
      </c>
      <c r="G403" s="4" t="s">
        <v>1633</v>
      </c>
      <c r="H403" s="4" t="s">
        <v>1634</v>
      </c>
      <c r="I403" s="5" t="str">
        <f>HYPERLINK("https://search.naver.com/search.naver?where=blog&amp;query=%EA%B0%90%EC%9E%90%EB%B0%94%EC%9C%84%EA%B3%A8+%EC%A4%91%EA%B5%AC","블로그 보기")</f>
        <v>블로그 보기</v>
      </c>
      <c r="J403" s="5"/>
      <c r="K403" s="5"/>
      <c r="L403" s="4"/>
      <c r="M403" s="7">
        <v>46221</v>
      </c>
      <c r="N403" s="8">
        <v>100</v>
      </c>
      <c r="O403" s="8">
        <v>97</v>
      </c>
      <c r="P403" s="8">
        <v>804</v>
      </c>
      <c r="Q403" s="8">
        <v>4</v>
      </c>
      <c r="R403" s="8">
        <v>4</v>
      </c>
      <c r="S403" s="4" t="s">
        <v>1635</v>
      </c>
      <c r="T403" s="9">
        <v>36.315093099999999</v>
      </c>
      <c r="U403" s="9">
        <v>127.4383735</v>
      </c>
    </row>
    <row r="404" spans="1:21" ht="32.1" customHeight="1">
      <c r="A404" s="5" t="s">
        <v>36</v>
      </c>
      <c r="B404" s="5" t="s">
        <v>13</v>
      </c>
      <c r="C404" s="4" t="s">
        <v>1636</v>
      </c>
      <c r="D404" s="4" t="s">
        <v>136</v>
      </c>
      <c r="E404" s="6">
        <v>78</v>
      </c>
      <c r="F404" s="4" t="s">
        <v>56</v>
      </c>
      <c r="G404" s="4" t="s">
        <v>1637</v>
      </c>
      <c r="H404" s="4" t="s">
        <v>1638</v>
      </c>
      <c r="I404" s="5" t="str">
        <f>HYPERLINK("https://search.naver.com/search.naver?where=blog&amp;query=%EB%B3%B4%EB%AC%B8%EC%82%B0%EC%9C%A0%EC%94%A8%EB%84%A4%EB%B6%80%EC%97%8C%EC%83%A4%EB%B8%8C%EC%83%A4%EB%B8%8C+%EC%A4%91%EA%B5%AC","블로그 보기")</f>
        <v>블로그 보기</v>
      </c>
      <c r="J404" s="5" t="str">
        <f>HYPERLINK("https://www.instagram.com/ussine.kitchen","업체 보기")</f>
        <v>업체 보기</v>
      </c>
      <c r="K404" s="5"/>
      <c r="L404" s="4"/>
      <c r="M404" s="7">
        <v>46223</v>
      </c>
      <c r="N404" s="8">
        <v>100</v>
      </c>
      <c r="O404" s="8">
        <v>95</v>
      </c>
      <c r="P404" s="8">
        <v>1262</v>
      </c>
      <c r="Q404" s="8">
        <v>5</v>
      </c>
      <c r="R404" s="8">
        <v>3</v>
      </c>
      <c r="S404" s="4" t="s">
        <v>1639</v>
      </c>
      <c r="T404" s="9">
        <v>36.3090069</v>
      </c>
      <c r="U404" s="9">
        <v>127.4193456</v>
      </c>
    </row>
    <row r="405" spans="1:21" ht="32.1" customHeight="1">
      <c r="A405" s="5" t="s">
        <v>36</v>
      </c>
      <c r="B405" s="5" t="s">
        <v>13</v>
      </c>
      <c r="C405" s="4" t="s">
        <v>1640</v>
      </c>
      <c r="D405" s="4" t="s">
        <v>38</v>
      </c>
      <c r="E405" s="6">
        <v>71</v>
      </c>
      <c r="F405" s="4" t="s">
        <v>1641</v>
      </c>
      <c r="G405" s="4" t="s">
        <v>1642</v>
      </c>
      <c r="H405" s="4" t="s">
        <v>1643</v>
      </c>
      <c r="I405" s="5" t="str">
        <f>HYPERLINK("https://search.naver.com/search.naver?where=blog&amp;query=%EC%98%B9%EC%8B%AC%EC%9D%B4%EB%A9%94%EB%B0%80%EC%B9%BC%EA%B5%AD%EC%88%98+%EC%A4%91%EA%B5%AC","블로그 보기")</f>
        <v>블로그 보기</v>
      </c>
      <c r="J405" s="5"/>
      <c r="K405" s="5"/>
      <c r="L405" s="4"/>
      <c r="M405" s="7">
        <v>46182</v>
      </c>
      <c r="N405" s="8">
        <v>69</v>
      </c>
      <c r="O405" s="8">
        <v>98</v>
      </c>
      <c r="P405" s="8">
        <v>633</v>
      </c>
      <c r="Q405" s="8">
        <v>3</v>
      </c>
      <c r="R405" s="8">
        <v>2</v>
      </c>
      <c r="S405" s="4" t="s">
        <v>1644</v>
      </c>
      <c r="T405" s="9">
        <v>36.315998800000003</v>
      </c>
      <c r="U405" s="9">
        <v>127.42546059999999</v>
      </c>
    </row>
    <row r="406" spans="1:21" ht="32.1" customHeight="1">
      <c r="A406" s="5" t="s">
        <v>36</v>
      </c>
      <c r="B406" s="5" t="s">
        <v>13</v>
      </c>
      <c r="C406" s="4" t="s">
        <v>1645</v>
      </c>
      <c r="D406" s="4" t="s">
        <v>71</v>
      </c>
      <c r="E406" s="6">
        <v>69</v>
      </c>
      <c r="F406" s="4" t="s">
        <v>1646</v>
      </c>
      <c r="G406" s="4" t="s">
        <v>1647</v>
      </c>
      <c r="H406" s="4" t="s">
        <v>1648</v>
      </c>
      <c r="I406" s="5" t="str">
        <f>HYPERLINK("https://search.naver.com/search.naver?where=blog&amp;query=%EA%B3%A0%EA%B8%B0%EB%8A%94%EC%95%BC%EC%99%B8%EB%B9%A8+%EC%A4%91%EA%B5%AC","블로그 보기")</f>
        <v>블로그 보기</v>
      </c>
      <c r="J406" s="5" t="str">
        <f>HYPERLINK("https://www.instagram.com/bbq_g_y/","업체 보기")</f>
        <v>업체 보기</v>
      </c>
      <c r="K406" s="5"/>
      <c r="L406" s="4"/>
      <c r="M406" s="7">
        <v>46219</v>
      </c>
      <c r="N406" s="8">
        <v>37</v>
      </c>
      <c r="O406" s="8">
        <v>98</v>
      </c>
      <c r="P406" s="8">
        <v>238</v>
      </c>
      <c r="Q406" s="8">
        <v>4</v>
      </c>
      <c r="R406" s="8">
        <v>2</v>
      </c>
      <c r="S406" s="4" t="s">
        <v>1649</v>
      </c>
      <c r="T406" s="9">
        <v>36.314215300000001</v>
      </c>
      <c r="U406" s="9">
        <v>127.4236815</v>
      </c>
    </row>
    <row r="407" spans="1:21" ht="32.1" customHeight="1">
      <c r="A407" s="5" t="s">
        <v>36</v>
      </c>
      <c r="B407" s="5" t="s">
        <v>13</v>
      </c>
      <c r="C407" s="4" t="s">
        <v>1650</v>
      </c>
      <c r="D407" s="4" t="s">
        <v>55</v>
      </c>
      <c r="E407" s="6">
        <v>69</v>
      </c>
      <c r="F407" s="4" t="s">
        <v>56</v>
      </c>
      <c r="G407" s="4" t="s">
        <v>1651</v>
      </c>
      <c r="H407" s="4" t="s">
        <v>1652</v>
      </c>
      <c r="I407" s="5" t="str">
        <f>HYPERLINK("https://search.naver.com/search.naver?where=blog&amp;query=%EB%8C%80%EB%8F%99%EC%88%9C%EB%8C%80+%EC%A4%91%EA%B5%AC","블로그 보기")</f>
        <v>블로그 보기</v>
      </c>
      <c r="J407" s="5"/>
      <c r="K407" s="5"/>
      <c r="L407" s="4"/>
      <c r="M407" s="7">
        <v>46222</v>
      </c>
      <c r="N407" s="8">
        <v>100</v>
      </c>
      <c r="O407" s="8">
        <v>98</v>
      </c>
      <c r="P407" s="8">
        <v>978</v>
      </c>
      <c r="Q407" s="8">
        <v>3</v>
      </c>
      <c r="R407" s="8">
        <v>3</v>
      </c>
      <c r="S407" s="4" t="s">
        <v>1653</v>
      </c>
      <c r="T407" s="9">
        <v>36.313803200000002</v>
      </c>
      <c r="U407" s="9">
        <v>127.4048901</v>
      </c>
    </row>
    <row r="408" spans="1:21" ht="32.1" customHeight="1">
      <c r="A408" s="5" t="s">
        <v>36</v>
      </c>
      <c r="B408" s="5" t="s">
        <v>13</v>
      </c>
      <c r="C408" s="4" t="s">
        <v>1654</v>
      </c>
      <c r="D408" s="4" t="s">
        <v>339</v>
      </c>
      <c r="E408" s="6">
        <v>67</v>
      </c>
      <c r="F408" s="4" t="s">
        <v>126</v>
      </c>
      <c r="G408" s="4" t="s">
        <v>1655</v>
      </c>
      <c r="H408" s="4" t="s">
        <v>1656</v>
      </c>
      <c r="I408" s="5" t="str">
        <f>HYPERLINK("https://search.naver.com/search.naver?where=blog&amp;query=%EB%B4%89%EC%8A%A4%EA%B9%80%EB%B0%A5+%EB%8C%80%EC%A0%84%EB%B3%B8%EC%A0%90+%EC%A4%91%EA%B5%AC","블로그 보기")</f>
        <v>블로그 보기</v>
      </c>
      <c r="J408" s="5"/>
      <c r="K408" s="5"/>
      <c r="L408" s="4"/>
      <c r="M408" s="7">
        <v>46223</v>
      </c>
      <c r="N408" s="8">
        <v>100</v>
      </c>
      <c r="O408" s="8">
        <v>95</v>
      </c>
      <c r="P408" s="8">
        <v>2351</v>
      </c>
      <c r="Q408" s="8">
        <v>1</v>
      </c>
      <c r="R408" s="8">
        <v>1</v>
      </c>
      <c r="S408" s="4" t="s">
        <v>1657</v>
      </c>
      <c r="T408" s="9">
        <v>36.309105199999998</v>
      </c>
      <c r="U408" s="9">
        <v>127.4048497</v>
      </c>
    </row>
    <row r="409" spans="1:21" ht="32.1" customHeight="1">
      <c r="A409" s="5" t="s">
        <v>36</v>
      </c>
      <c r="B409" s="5" t="s">
        <v>13</v>
      </c>
      <c r="C409" s="4" t="s">
        <v>1658</v>
      </c>
      <c r="D409" s="4" t="s">
        <v>38</v>
      </c>
      <c r="E409" s="6">
        <v>67</v>
      </c>
      <c r="F409" s="4" t="s">
        <v>1659</v>
      </c>
      <c r="G409" s="4" t="s">
        <v>1660</v>
      </c>
      <c r="H409" s="4" t="s">
        <v>1661</v>
      </c>
      <c r="I409" s="5" t="str">
        <f>HYPERLINK("https://search.naver.com/search.naver?where=blog&amp;query=%ED%99%8D%EB%91%90%EA%B9%A8%EC%B9%BC%EA%B5%AD%EC%88%98+%EC%A4%91%EA%B5%AC","블로그 보기")</f>
        <v>블로그 보기</v>
      </c>
      <c r="J409" s="5"/>
      <c r="K409" s="5"/>
      <c r="L409" s="4"/>
      <c r="M409" s="7">
        <v>46223</v>
      </c>
      <c r="N409" s="8">
        <v>98</v>
      </c>
      <c r="O409" s="8">
        <v>96</v>
      </c>
      <c r="P409" s="8">
        <v>662</v>
      </c>
      <c r="Q409" s="8">
        <v>2</v>
      </c>
      <c r="R409" s="8">
        <v>2</v>
      </c>
      <c r="S409" s="4" t="s">
        <v>1662</v>
      </c>
      <c r="T409" s="9">
        <v>36.311042800000003</v>
      </c>
      <c r="U409" s="9">
        <v>127.43964459999999</v>
      </c>
    </row>
    <row r="410" spans="1:21" ht="32.1" customHeight="1">
      <c r="A410" s="5" t="s">
        <v>36</v>
      </c>
      <c r="B410" s="5" t="s">
        <v>13</v>
      </c>
      <c r="C410" s="4" t="s">
        <v>1663</v>
      </c>
      <c r="D410" s="4" t="s">
        <v>77</v>
      </c>
      <c r="E410" s="6">
        <v>66</v>
      </c>
      <c r="F410" s="4" t="s">
        <v>1156</v>
      </c>
      <c r="G410" s="4" t="s">
        <v>1664</v>
      </c>
      <c r="H410" s="4" t="s">
        <v>1665</v>
      </c>
      <c r="I410" s="5" t="str">
        <f>HYPERLINK("https://search.naver.com/search.naver?where=blog&amp;query=%EB%A7%8C%EC%88%98%EB%AF%BC%EB%AC%BC%EC%9E%A5%EC%96%B4+%EC%A4%91%EA%B5%AC","블로그 보기")</f>
        <v>블로그 보기</v>
      </c>
      <c r="J410" s="5" t="str">
        <f>HYPERLINK("https://blog.naver.com/jae1soosan","업체 보기")</f>
        <v>업체 보기</v>
      </c>
      <c r="K410" s="5"/>
      <c r="L410" s="4"/>
      <c r="M410" s="7">
        <v>46185</v>
      </c>
      <c r="N410" s="8">
        <v>55</v>
      </c>
      <c r="O410" s="8">
        <v>94</v>
      </c>
      <c r="P410" s="8">
        <v>363</v>
      </c>
      <c r="Q410" s="8">
        <v>4</v>
      </c>
      <c r="R410" s="8">
        <v>1</v>
      </c>
      <c r="S410" s="4" t="s">
        <v>1666</v>
      </c>
      <c r="T410" s="9">
        <v>36.312670599999997</v>
      </c>
      <c r="U410" s="9">
        <v>127.4133954</v>
      </c>
    </row>
    <row r="411" spans="1:21" ht="32.1" customHeight="1">
      <c r="A411" s="5" t="s">
        <v>36</v>
      </c>
      <c r="B411" s="5" t="s">
        <v>13</v>
      </c>
      <c r="C411" s="4" t="s">
        <v>1667</v>
      </c>
      <c r="D411" s="4" t="s">
        <v>248</v>
      </c>
      <c r="E411" s="6">
        <v>65</v>
      </c>
      <c r="F411" s="4" t="s">
        <v>97</v>
      </c>
      <c r="G411" s="4" t="s">
        <v>1668</v>
      </c>
      <c r="H411" s="4" t="s">
        <v>1669</v>
      </c>
      <c r="I411" s="5" t="str">
        <f>HYPERLINK("https://search.naver.com/search.naver?where=blog&amp;query=%EB%B3%B5%EC%88%98%EB%B6%84%EC%8B%9D+%EB%B3%B8%EC%A0%90+%EC%A4%91%EA%B5%AC","블로그 보기")</f>
        <v>블로그 보기</v>
      </c>
      <c r="J411" s="5"/>
      <c r="K411" s="5"/>
      <c r="L411" s="4"/>
      <c r="M411" s="7">
        <v>46221</v>
      </c>
      <c r="N411" s="8">
        <v>100</v>
      </c>
      <c r="O411" s="8">
        <v>100</v>
      </c>
      <c r="P411" s="8">
        <v>619</v>
      </c>
      <c r="Q411" s="8">
        <v>3</v>
      </c>
      <c r="R411" s="8">
        <v>0</v>
      </c>
      <c r="S411" s="4" t="s">
        <v>1670</v>
      </c>
      <c r="T411" s="9">
        <v>36.318049199999997</v>
      </c>
      <c r="U411" s="9">
        <v>127.427532</v>
      </c>
    </row>
    <row r="412" spans="1:21" ht="32.1" customHeight="1">
      <c r="A412" s="5" t="s">
        <v>36</v>
      </c>
      <c r="B412" s="5" t="s">
        <v>13</v>
      </c>
      <c r="C412" s="4" t="s">
        <v>1671</v>
      </c>
      <c r="D412" s="4" t="s">
        <v>1458</v>
      </c>
      <c r="E412" s="6">
        <v>65</v>
      </c>
      <c r="F412" s="4" t="s">
        <v>1672</v>
      </c>
      <c r="G412" s="4" t="s">
        <v>1673</v>
      </c>
      <c r="H412" s="4" t="s">
        <v>1674</v>
      </c>
      <c r="I412" s="5" t="str">
        <f>HYPERLINK("https://search.naver.com/search.naver?where=blog&amp;query=%EC%B0%A9%ED%95%9C%EB%82%99%EC%A7%80+%EB%8C%80%EC%A0%84%EB%B3%B4%EB%AC%B8%EC%82%B0%EC%A0%90+%EC%A4%91%EA%B5%AC","블로그 보기")</f>
        <v>블로그 보기</v>
      </c>
      <c r="J412" s="5"/>
      <c r="K412" s="5"/>
      <c r="L412" s="4"/>
      <c r="M412" s="7">
        <v>46197</v>
      </c>
      <c r="N412" s="8">
        <v>42</v>
      </c>
      <c r="O412" s="8">
        <v>99</v>
      </c>
      <c r="P412" s="8">
        <v>121</v>
      </c>
      <c r="Q412" s="8">
        <v>2</v>
      </c>
      <c r="R412" s="8">
        <v>2</v>
      </c>
      <c r="S412" s="4" t="s">
        <v>1675</v>
      </c>
      <c r="T412" s="9">
        <v>36.315203799999999</v>
      </c>
      <c r="U412" s="9">
        <v>127.433322</v>
      </c>
    </row>
    <row r="413" spans="1:21" ht="32.1" customHeight="1">
      <c r="A413" s="5" t="s">
        <v>36</v>
      </c>
      <c r="B413" s="5" t="s">
        <v>13</v>
      </c>
      <c r="C413" s="4" t="s">
        <v>1676</v>
      </c>
      <c r="D413" s="4" t="s">
        <v>475</v>
      </c>
      <c r="E413" s="6">
        <v>64</v>
      </c>
      <c r="F413" s="4" t="s">
        <v>78</v>
      </c>
      <c r="G413" s="4" t="s">
        <v>1677</v>
      </c>
      <c r="H413" s="4" t="s">
        <v>1678</v>
      </c>
      <c r="I413" s="5" t="str">
        <f>HYPERLINK("https://search.naver.com/search.naver?where=blog&amp;query=%EC%A0%95%EC%A7%81%ED%95%9C%ED%95%98%EB%88%84+%EC%A4%91%EA%B5%AC","블로그 보기")</f>
        <v>블로그 보기</v>
      </c>
      <c r="J413" s="5"/>
      <c r="K413" s="5"/>
      <c r="L413" s="4"/>
      <c r="M413" s="7">
        <v>46215</v>
      </c>
      <c r="N413" s="8">
        <v>31</v>
      </c>
      <c r="O413" s="8">
        <v>79</v>
      </c>
      <c r="P413" s="8">
        <v>162</v>
      </c>
      <c r="Q413" s="8">
        <v>3</v>
      </c>
      <c r="R413" s="8">
        <v>2</v>
      </c>
      <c r="S413" s="4" t="s">
        <v>1679</v>
      </c>
      <c r="T413" s="9">
        <v>36.313498899999999</v>
      </c>
      <c r="U413" s="9">
        <v>127.4343497</v>
      </c>
    </row>
    <row r="414" spans="1:21" ht="32.1" customHeight="1">
      <c r="A414" s="5" t="s">
        <v>36</v>
      </c>
      <c r="B414" s="5" t="s">
        <v>13</v>
      </c>
      <c r="C414" s="4" t="s">
        <v>1680</v>
      </c>
      <c r="D414" s="4" t="s">
        <v>119</v>
      </c>
      <c r="E414" s="6">
        <v>63</v>
      </c>
      <c r="F414" s="4" t="s">
        <v>56</v>
      </c>
      <c r="G414" s="4" t="s">
        <v>1681</v>
      </c>
      <c r="H414" s="4" t="s">
        <v>1682</v>
      </c>
      <c r="I414" s="5" t="str">
        <f>HYPERLINK("https://search.naver.com/search.naver?where=blog&amp;query=%EB%B3%B4%EB%AC%B8%EC%82%B0%EB%B3%B8%EA%B0%80%EB%88%84%EB%A3%BD%EC%A7%80%EC%82%BC%EA%B3%84%ED%83%95+%EC%A4%91%EA%B5%AC","블로그 보기")</f>
        <v>블로그 보기</v>
      </c>
      <c r="J414" s="5" t="str">
        <f>HYPERLINK("http://instagram.com/bomunsan_bonga","업체 보기")</f>
        <v>업체 보기</v>
      </c>
      <c r="K414" s="5"/>
      <c r="L414" s="4"/>
      <c r="M414" s="7">
        <v>46223</v>
      </c>
      <c r="N414" s="8">
        <v>100</v>
      </c>
      <c r="O414" s="8">
        <v>93</v>
      </c>
      <c r="P414" s="8">
        <v>553</v>
      </c>
      <c r="Q414" s="8">
        <v>3</v>
      </c>
      <c r="R414" s="8">
        <v>1</v>
      </c>
      <c r="S414" s="4" t="s">
        <v>1683</v>
      </c>
      <c r="T414" s="9">
        <v>36.315266299999998</v>
      </c>
      <c r="U414" s="9">
        <v>127.4242924</v>
      </c>
    </row>
    <row r="415" spans="1:21" ht="32.1" customHeight="1">
      <c r="A415" s="5" t="s">
        <v>36</v>
      </c>
      <c r="B415" s="5" t="s">
        <v>13</v>
      </c>
      <c r="C415" s="4" t="s">
        <v>1684</v>
      </c>
      <c r="D415" s="4" t="s">
        <v>136</v>
      </c>
      <c r="E415" s="6">
        <v>63</v>
      </c>
      <c r="F415" s="4" t="s">
        <v>45</v>
      </c>
      <c r="G415" s="4" t="s">
        <v>1685</v>
      </c>
      <c r="H415" s="4" t="s">
        <v>1686</v>
      </c>
      <c r="I415" s="5" t="str">
        <f>HYPERLINK("https://search.naver.com/search.naver?where=blog&amp;query=%EC%83%A4%EB%B8%8C%EB%A7%88%EB%8B%88%EC%95%84+%EB%8C%80%EC%A0%84%EB%B3%B4%EB%AC%B8%EC%82%B0%EC%A0%90+%EC%A4%91%EA%B5%AC","블로그 보기")</f>
        <v>블로그 보기</v>
      </c>
      <c r="J415" s="5"/>
      <c r="K415" s="5"/>
      <c r="L415" s="4"/>
      <c r="M415" s="7">
        <v>46220</v>
      </c>
      <c r="N415" s="8">
        <v>100</v>
      </c>
      <c r="O415" s="8">
        <v>99</v>
      </c>
      <c r="P415" s="8">
        <v>431</v>
      </c>
      <c r="Q415" s="8">
        <v>2</v>
      </c>
      <c r="R415" s="8">
        <v>1</v>
      </c>
      <c r="S415" s="4" t="s">
        <v>1687</v>
      </c>
      <c r="T415" s="9">
        <v>36.312713199999997</v>
      </c>
      <c r="U415" s="9">
        <v>127.4207679</v>
      </c>
    </row>
    <row r="416" spans="1:21" ht="32.1" customHeight="1">
      <c r="A416" s="5" t="s">
        <v>36</v>
      </c>
      <c r="B416" s="5" t="s">
        <v>13</v>
      </c>
      <c r="C416" s="4" t="s">
        <v>1688</v>
      </c>
      <c r="D416" s="4" t="s">
        <v>280</v>
      </c>
      <c r="E416" s="6">
        <v>63</v>
      </c>
      <c r="F416" s="4" t="s">
        <v>165</v>
      </c>
      <c r="G416" s="4" t="s">
        <v>1689</v>
      </c>
      <c r="H416" s="4" t="s">
        <v>1690</v>
      </c>
      <c r="I416" s="5" t="str">
        <f>HYPERLINK("https://search.naver.com/search.naver?where=blog&amp;query=%EC%A7%84%EC%A7%9C%EB%B0%B0%EA%B8%B0%EB%AA%85%ED%83%9C%EC%B4%8C+%EB%B3%B4%EB%AC%B8%EC%82%B0%EC%A0%90+%EC%A4%91%EA%B5%AC","블로그 보기")</f>
        <v>블로그 보기</v>
      </c>
      <c r="J416" s="5"/>
      <c r="K416" s="5"/>
      <c r="L416" s="4"/>
      <c r="M416" s="7">
        <v>46189</v>
      </c>
      <c r="N416" s="8">
        <v>10</v>
      </c>
      <c r="O416" s="8">
        <v>30</v>
      </c>
      <c r="P416" s="8">
        <v>30</v>
      </c>
      <c r="Q416" s="8">
        <v>4</v>
      </c>
      <c r="R416" s="8">
        <v>1</v>
      </c>
      <c r="S416" s="4" t="s">
        <v>1666</v>
      </c>
      <c r="T416" s="9">
        <v>36.3129451</v>
      </c>
      <c r="U416" s="9">
        <v>127.4209733</v>
      </c>
    </row>
    <row r="417" spans="1:21" ht="32.1" customHeight="1">
      <c r="A417" s="5" t="s">
        <v>36</v>
      </c>
      <c r="B417" s="5" t="s">
        <v>13</v>
      </c>
      <c r="C417" s="4" t="s">
        <v>1691</v>
      </c>
      <c r="D417" s="4" t="s">
        <v>55</v>
      </c>
      <c r="E417" s="6">
        <v>62</v>
      </c>
      <c r="F417" s="4" t="s">
        <v>56</v>
      </c>
      <c r="G417" s="4" t="s">
        <v>1692</v>
      </c>
      <c r="H417" s="4" t="s">
        <v>1693</v>
      </c>
      <c r="I417" s="5" t="str">
        <f>HYPERLINK("https://search.naver.com/search.naver?where=blog&amp;query=%EC%9C%A0%EC%84%B1%EC%88%9C%EB%8C%80+%EC%A4%91%EA%B5%AC","블로그 보기")</f>
        <v>블로그 보기</v>
      </c>
      <c r="J417" s="5"/>
      <c r="K417" s="5"/>
      <c r="L417" s="4"/>
      <c r="M417" s="7">
        <v>46223</v>
      </c>
      <c r="N417" s="8">
        <v>100</v>
      </c>
      <c r="O417" s="8">
        <v>90</v>
      </c>
      <c r="P417" s="8">
        <v>933</v>
      </c>
      <c r="Q417" s="8">
        <v>2</v>
      </c>
      <c r="R417" s="8">
        <v>2</v>
      </c>
      <c r="S417" s="4" t="s">
        <v>1694</v>
      </c>
      <c r="T417" s="9">
        <v>36.310712700000003</v>
      </c>
      <c r="U417" s="9">
        <v>127.4425426</v>
      </c>
    </row>
    <row r="418" spans="1:21" ht="32.1" customHeight="1">
      <c r="A418" s="5" t="s">
        <v>36</v>
      </c>
      <c r="B418" s="5" t="s">
        <v>13</v>
      </c>
      <c r="C418" s="4" t="s">
        <v>1695</v>
      </c>
      <c r="D418" s="4" t="s">
        <v>125</v>
      </c>
      <c r="E418" s="6">
        <v>62</v>
      </c>
      <c r="F418" s="4" t="s">
        <v>97</v>
      </c>
      <c r="G418" s="4" t="s">
        <v>1696</v>
      </c>
      <c r="H418" s="4" t="s">
        <v>1697</v>
      </c>
      <c r="I418" s="5" t="str">
        <f>HYPERLINK("https://search.naver.com/search.naver?where=blog&amp;query=%EC%A7%AC%EB%BD%95%EC%A7%AC%EB%BD%95+%EB%B3%B8%EC%A0%90+%EC%A4%91%EA%B5%AC","블로그 보기")</f>
        <v>블로그 보기</v>
      </c>
      <c r="J418" s="5"/>
      <c r="K418" s="5"/>
      <c r="L418" s="4"/>
      <c r="M418" s="7">
        <v>46223</v>
      </c>
      <c r="N418" s="8">
        <v>100</v>
      </c>
      <c r="O418" s="8">
        <v>100</v>
      </c>
      <c r="P418" s="8">
        <v>10637</v>
      </c>
      <c r="Q418" s="8">
        <v>1</v>
      </c>
      <c r="R418" s="8">
        <v>1</v>
      </c>
      <c r="S418" s="4" t="s">
        <v>1698</v>
      </c>
      <c r="T418" s="9">
        <v>36.313968600000003</v>
      </c>
      <c r="U418" s="9">
        <v>127.40440630000001</v>
      </c>
    </row>
    <row r="419" spans="1:21" ht="32.1" customHeight="1">
      <c r="A419" s="5" t="s">
        <v>36</v>
      </c>
      <c r="B419" s="5" t="s">
        <v>13</v>
      </c>
      <c r="C419" s="4" t="s">
        <v>1699</v>
      </c>
      <c r="D419" s="4" t="s">
        <v>119</v>
      </c>
      <c r="E419" s="6">
        <v>61</v>
      </c>
      <c r="F419" s="4" t="s">
        <v>56</v>
      </c>
      <c r="G419" s="4" t="s">
        <v>1700</v>
      </c>
      <c r="H419" s="4" t="s">
        <v>1701</v>
      </c>
      <c r="I419" s="5" t="str">
        <f>HYPERLINK("https://search.naver.com/search.naver?where=blog&amp;query=%EA%BC%AD%EB%8C%80%EA%B8%B0%EC%A7%91+%EC%A4%91%EA%B5%AC","블로그 보기")</f>
        <v>블로그 보기</v>
      </c>
      <c r="J419" s="5"/>
      <c r="K419" s="5"/>
      <c r="L419" s="4"/>
      <c r="M419" s="7">
        <v>46222</v>
      </c>
      <c r="N419" s="8">
        <v>100</v>
      </c>
      <c r="O419" s="8">
        <v>98</v>
      </c>
      <c r="P419" s="8">
        <v>6519</v>
      </c>
      <c r="Q419" s="8">
        <v>2</v>
      </c>
      <c r="R419" s="8">
        <v>1</v>
      </c>
      <c r="S419" s="4" t="s">
        <v>1702</v>
      </c>
      <c r="T419" s="9">
        <v>36.313380100000003</v>
      </c>
      <c r="U419" s="9">
        <v>127.4254493</v>
      </c>
    </row>
    <row r="420" spans="1:21" ht="32.1" customHeight="1">
      <c r="A420" s="5" t="s">
        <v>36</v>
      </c>
      <c r="B420" s="5" t="s">
        <v>13</v>
      </c>
      <c r="C420" s="4" t="s">
        <v>1703</v>
      </c>
      <c r="D420" s="4" t="s">
        <v>170</v>
      </c>
      <c r="E420" s="6">
        <v>60</v>
      </c>
      <c r="F420" s="4" t="s">
        <v>890</v>
      </c>
      <c r="G420" s="4" t="s">
        <v>1704</v>
      </c>
      <c r="H420" s="4" t="s">
        <v>1705</v>
      </c>
      <c r="I420" s="5" t="str">
        <f>HYPERLINK("https://search.naver.com/search.naver?where=blog&amp;query=%EC%9C%A0%EA%B0%80%EC%98%A5%EC%84%A4%EB%A0%81%ED%83%95+%EC%A4%91%EA%B5%AC","블로그 보기")</f>
        <v>블로그 보기</v>
      </c>
      <c r="J420" s="5" t="str">
        <f>HYPERLINK("https://smartstore.naver.com/yougaok","업체 보기")</f>
        <v>업체 보기</v>
      </c>
      <c r="K420" s="5"/>
      <c r="L420" s="4"/>
      <c r="M420" s="7">
        <v>46223</v>
      </c>
      <c r="N420" s="8">
        <v>63</v>
      </c>
      <c r="O420" s="8">
        <v>96</v>
      </c>
      <c r="P420" s="8">
        <v>207</v>
      </c>
      <c r="Q420" s="8">
        <v>2</v>
      </c>
      <c r="R420" s="8">
        <v>2</v>
      </c>
      <c r="S420" s="4" t="s">
        <v>1679</v>
      </c>
      <c r="T420" s="9">
        <v>36.314633999999998</v>
      </c>
      <c r="U420" s="9">
        <v>127.4336656</v>
      </c>
    </row>
    <row r="421" spans="1:21" ht="32.1" customHeight="1">
      <c r="A421" s="5" t="s">
        <v>36</v>
      </c>
      <c r="B421" s="5" t="s">
        <v>13</v>
      </c>
      <c r="C421" s="4" t="s">
        <v>1706</v>
      </c>
      <c r="D421" s="4" t="s">
        <v>1326</v>
      </c>
      <c r="E421" s="6">
        <v>59</v>
      </c>
      <c r="F421" s="4" t="s">
        <v>819</v>
      </c>
      <c r="G421" s="4" t="s">
        <v>1707</v>
      </c>
      <c r="H421" s="4" t="s">
        <v>1708</v>
      </c>
      <c r="I421" s="5" t="str">
        <f>HYPERLINK("https://search.naver.com/search.naver?where=blog&amp;query=%EB%98%91%EC%88%9C%EC%9D%B4%EB%84%A4+%EC%A4%91%EA%B5%AC","블로그 보기")</f>
        <v>블로그 보기</v>
      </c>
      <c r="J421" s="5"/>
      <c r="K421" s="5"/>
      <c r="L421" s="4"/>
      <c r="M421" s="7">
        <v>46208</v>
      </c>
      <c r="N421" s="8">
        <v>62</v>
      </c>
      <c r="O421" s="8">
        <v>85</v>
      </c>
      <c r="P421" s="8">
        <v>474</v>
      </c>
      <c r="Q421" s="8">
        <v>2</v>
      </c>
      <c r="R421" s="8">
        <v>1</v>
      </c>
      <c r="S421" s="4" t="s">
        <v>1702</v>
      </c>
      <c r="T421" s="9">
        <v>36.314445200000002</v>
      </c>
      <c r="U421" s="9">
        <v>127.4239951</v>
      </c>
    </row>
    <row r="422" spans="1:21" ht="32.1" customHeight="1">
      <c r="A422" s="5" t="s">
        <v>36</v>
      </c>
      <c r="B422" s="5" t="s">
        <v>13</v>
      </c>
      <c r="C422" s="4" t="s">
        <v>1709</v>
      </c>
      <c r="D422" s="4" t="s">
        <v>38</v>
      </c>
      <c r="E422" s="6">
        <v>59</v>
      </c>
      <c r="F422" s="4" t="s">
        <v>39</v>
      </c>
      <c r="G422" s="4" t="s">
        <v>1710</v>
      </c>
      <c r="H422" s="4" t="s">
        <v>1711</v>
      </c>
      <c r="I422" s="5" t="str">
        <f>HYPERLINK("https://search.naver.com/search.naver?where=blog&amp;query=%EC%8B%9C%EB%AF%BC%EC%B9%BC%EA%B5%AD%EC%88%98+%EC%A4%91%EA%B5%AC","블로그 보기")</f>
        <v>블로그 보기</v>
      </c>
      <c r="J422" s="5"/>
      <c r="K422" s="5"/>
      <c r="L422" s="4"/>
      <c r="M422" s="7">
        <v>46223</v>
      </c>
      <c r="N422" s="8">
        <v>100</v>
      </c>
      <c r="O422" s="8">
        <v>95</v>
      </c>
      <c r="P422" s="8">
        <v>4590</v>
      </c>
      <c r="Q422" s="8">
        <v>1</v>
      </c>
      <c r="R422" s="8">
        <v>0</v>
      </c>
      <c r="S422" s="4" t="s">
        <v>1712</v>
      </c>
      <c r="T422" s="9">
        <v>36.321068699999998</v>
      </c>
      <c r="U422" s="9">
        <v>127.4156479</v>
      </c>
    </row>
    <row r="423" spans="1:21" ht="32.1" customHeight="1">
      <c r="A423" s="5" t="s">
        <v>36</v>
      </c>
      <c r="B423" s="5" t="s">
        <v>13</v>
      </c>
      <c r="C423" s="4" t="s">
        <v>1713</v>
      </c>
      <c r="D423" s="4" t="s">
        <v>71</v>
      </c>
      <c r="E423" s="6">
        <v>58</v>
      </c>
      <c r="F423" s="4" t="s">
        <v>541</v>
      </c>
      <c r="G423" s="4" t="s">
        <v>1714</v>
      </c>
      <c r="H423" s="4" t="s">
        <v>1715</v>
      </c>
      <c r="I423" s="5" t="str">
        <f>HYPERLINK("https://search.naver.com/search.naver?where=blog&amp;query=%EB%8B%A4%EC%A0%95%EC%8B%9D%EB%8B%B9+%EC%A4%91%EA%B5%AC","블로그 보기")</f>
        <v>블로그 보기</v>
      </c>
      <c r="J423" s="5" t="str">
        <f>HYPERLINK("https://www.instagram.com/boribab.dajung1981","업체 보기")</f>
        <v>업체 보기</v>
      </c>
      <c r="K423" s="5"/>
      <c r="L423" s="4"/>
      <c r="M423" s="7">
        <v>46216</v>
      </c>
      <c r="N423" s="8">
        <v>67</v>
      </c>
      <c r="O423" s="8">
        <v>100</v>
      </c>
      <c r="P423" s="8">
        <v>324</v>
      </c>
      <c r="Q423" s="8">
        <v>2</v>
      </c>
      <c r="R423" s="8">
        <v>1</v>
      </c>
      <c r="S423" s="4" t="s">
        <v>1712</v>
      </c>
      <c r="T423" s="9">
        <v>36.3130053</v>
      </c>
      <c r="U423" s="9">
        <v>127.4220004</v>
      </c>
    </row>
    <row r="424" spans="1:21" ht="32.1" customHeight="1">
      <c r="A424" s="5" t="s">
        <v>36</v>
      </c>
      <c r="B424" s="5" t="s">
        <v>13</v>
      </c>
      <c r="C424" s="4" t="s">
        <v>1716</v>
      </c>
      <c r="D424" s="4" t="s">
        <v>71</v>
      </c>
      <c r="E424" s="6">
        <v>57</v>
      </c>
      <c r="F424" s="4" t="s">
        <v>297</v>
      </c>
      <c r="G424" s="4" t="s">
        <v>1717</v>
      </c>
      <c r="H424" s="4" t="s">
        <v>1718</v>
      </c>
      <c r="I424" s="5" t="str">
        <f>HYPERLINK("https://search.naver.com/search.naver?where=blog&amp;query=%EB%82%A8%EC%9B%90%EC%A7%91+%EC%A4%91%EA%B5%AC","블로그 보기")</f>
        <v>블로그 보기</v>
      </c>
      <c r="J424" s="5" t="str">
        <f>HYPERLINK("https://www.instagram.com/namwonjip","업체 보기")</f>
        <v>업체 보기</v>
      </c>
      <c r="K424" s="5"/>
      <c r="L424" s="4"/>
      <c r="M424" s="7">
        <v>46220</v>
      </c>
      <c r="N424" s="8">
        <v>28</v>
      </c>
      <c r="O424" s="8">
        <v>88</v>
      </c>
      <c r="P424" s="8">
        <v>181</v>
      </c>
      <c r="Q424" s="8">
        <v>2</v>
      </c>
      <c r="R424" s="8">
        <v>1</v>
      </c>
      <c r="S424" s="4" t="s">
        <v>1719</v>
      </c>
      <c r="T424" s="9">
        <v>36.308219999999999</v>
      </c>
      <c r="U424" s="9">
        <v>127.4041689</v>
      </c>
    </row>
    <row r="425" spans="1:21" ht="32.1" customHeight="1">
      <c r="A425" s="5" t="s">
        <v>36</v>
      </c>
      <c r="B425" s="5" t="s">
        <v>13</v>
      </c>
      <c r="C425" s="4" t="s">
        <v>1667</v>
      </c>
      <c r="D425" s="4" t="s">
        <v>248</v>
      </c>
      <c r="E425" s="6">
        <v>57</v>
      </c>
      <c r="F425" s="4" t="s">
        <v>97</v>
      </c>
      <c r="G425" s="4" t="s">
        <v>1720</v>
      </c>
      <c r="H425" s="4" t="s">
        <v>1721</v>
      </c>
      <c r="I425" s="5" t="str">
        <f>HYPERLINK("https://search.naver.com/search.naver?where=blog&amp;query=%EB%B3%B5%EC%88%98%EB%B6%84%EC%8B%9D+%EB%B3%B8%EC%A0%90+%EC%A4%91%EA%B5%AC","블로그 보기")</f>
        <v>블로그 보기</v>
      </c>
      <c r="J425" s="5" t="str">
        <f>HYPERLINK("https://smartstore.naver.com/","업체 보기")</f>
        <v>업체 보기</v>
      </c>
      <c r="K425" s="5"/>
      <c r="L425" s="4"/>
      <c r="M425" s="7">
        <v>46221</v>
      </c>
      <c r="N425" s="8">
        <v>100</v>
      </c>
      <c r="O425" s="8">
        <v>100</v>
      </c>
      <c r="P425" s="8">
        <v>619</v>
      </c>
      <c r="Q425" s="8">
        <v>1</v>
      </c>
      <c r="R425" s="8">
        <v>0</v>
      </c>
      <c r="S425" s="4" t="s">
        <v>1657</v>
      </c>
      <c r="T425" s="9">
        <v>36.325064300000001</v>
      </c>
      <c r="U425" s="9">
        <v>127.4228461</v>
      </c>
    </row>
    <row r="426" spans="1:21" ht="32.1" customHeight="1">
      <c r="A426" s="5" t="s">
        <v>36</v>
      </c>
      <c r="B426" s="5" t="s">
        <v>13</v>
      </c>
      <c r="C426" s="4" t="s">
        <v>1722</v>
      </c>
      <c r="D426" s="4" t="s">
        <v>125</v>
      </c>
      <c r="E426" s="6">
        <v>57</v>
      </c>
      <c r="F426" s="4" t="s">
        <v>56</v>
      </c>
      <c r="G426" s="4" t="s">
        <v>1723</v>
      </c>
      <c r="H426" s="4" t="s">
        <v>1724</v>
      </c>
      <c r="I426" s="5" t="str">
        <f>HYPERLINK("https://search.naver.com/search.naver?where=blog&amp;query=%EB%B6%81%EA%B2%BD+%EC%A4%91%EA%B5%AC","블로그 보기")</f>
        <v>블로그 보기</v>
      </c>
      <c r="J426" s="5"/>
      <c r="K426" s="5"/>
      <c r="L426" s="4"/>
      <c r="M426" s="7">
        <v>46223</v>
      </c>
      <c r="N426" s="8">
        <v>100</v>
      </c>
      <c r="O426" s="8">
        <v>77</v>
      </c>
      <c r="P426" s="8">
        <v>484897</v>
      </c>
      <c r="Q426" s="8">
        <v>1</v>
      </c>
      <c r="R426" s="8">
        <v>1</v>
      </c>
      <c r="S426" s="4" t="s">
        <v>1698</v>
      </c>
      <c r="T426" s="9">
        <v>36.313476999999999</v>
      </c>
      <c r="U426" s="9">
        <v>127.42998249999999</v>
      </c>
    </row>
    <row r="427" spans="1:21" ht="32.1" customHeight="1">
      <c r="A427" s="5" t="s">
        <v>36</v>
      </c>
      <c r="B427" s="5" t="s">
        <v>13</v>
      </c>
      <c r="C427" s="4" t="s">
        <v>1725</v>
      </c>
      <c r="D427" s="4" t="s">
        <v>220</v>
      </c>
      <c r="E427" s="6">
        <v>57</v>
      </c>
      <c r="F427" s="4" t="s">
        <v>56</v>
      </c>
      <c r="G427" s="4" t="s">
        <v>1726</v>
      </c>
      <c r="H427" s="4" t="s">
        <v>1727</v>
      </c>
      <c r="I427" s="5" t="str">
        <f>HYPERLINK("https://search.naver.com/search.naver?where=blog&amp;query=%EC%86%8C%EB%8B%B4+%EC%A4%91%EA%B5%AC","블로그 보기")</f>
        <v>블로그 보기</v>
      </c>
      <c r="J427" s="5"/>
      <c r="K427" s="5"/>
      <c r="L427" s="4"/>
      <c r="M427" s="7">
        <v>46223</v>
      </c>
      <c r="N427" s="8">
        <v>100</v>
      </c>
      <c r="O427" s="8">
        <v>93</v>
      </c>
      <c r="P427" s="8">
        <v>4956</v>
      </c>
      <c r="Q427" s="8">
        <v>1</v>
      </c>
      <c r="R427" s="8">
        <v>1</v>
      </c>
      <c r="S427" s="4" t="s">
        <v>1687</v>
      </c>
      <c r="T427" s="9">
        <v>36.313199099999999</v>
      </c>
      <c r="U427" s="9">
        <v>127.4329955</v>
      </c>
    </row>
    <row r="428" spans="1:21" ht="32.1" customHeight="1">
      <c r="A428" s="5" t="s">
        <v>36</v>
      </c>
      <c r="B428" s="5" t="s">
        <v>13</v>
      </c>
      <c r="C428" s="4" t="s">
        <v>1728</v>
      </c>
      <c r="D428" s="4" t="s">
        <v>306</v>
      </c>
      <c r="E428" s="6">
        <v>57</v>
      </c>
      <c r="F428" s="4" t="s">
        <v>56</v>
      </c>
      <c r="G428" s="4" t="s">
        <v>1729</v>
      </c>
      <c r="H428" s="4" t="s">
        <v>1730</v>
      </c>
      <c r="I428" s="5" t="str">
        <f>HYPERLINK("https://search.naver.com/search.naver?where=blog&amp;query=%EC%86%8C%ED%92%8D+%EC%A4%91%EA%B5%AC","블로그 보기")</f>
        <v>블로그 보기</v>
      </c>
      <c r="J428" s="5"/>
      <c r="K428" s="5"/>
      <c r="L428" s="4"/>
      <c r="M428" s="7">
        <v>46223</v>
      </c>
      <c r="N428" s="8">
        <v>100</v>
      </c>
      <c r="O428" s="8">
        <v>85</v>
      </c>
      <c r="P428" s="8">
        <v>16194</v>
      </c>
      <c r="Q428" s="8">
        <v>1</v>
      </c>
      <c r="R428" s="8">
        <v>1</v>
      </c>
      <c r="S428" s="4" t="s">
        <v>1687</v>
      </c>
      <c r="T428" s="9">
        <v>36.313313600000001</v>
      </c>
      <c r="U428" s="9">
        <v>127.4316433</v>
      </c>
    </row>
    <row r="429" spans="1:21" ht="32.1" customHeight="1">
      <c r="A429" s="5" t="s">
        <v>36</v>
      </c>
      <c r="B429" s="5" t="s">
        <v>13</v>
      </c>
      <c r="C429" s="4" t="s">
        <v>1731</v>
      </c>
      <c r="D429" s="4" t="s">
        <v>248</v>
      </c>
      <c r="E429" s="6">
        <v>57</v>
      </c>
      <c r="F429" s="4" t="s">
        <v>56</v>
      </c>
      <c r="G429" s="4" t="s">
        <v>1732</v>
      </c>
      <c r="H429" s="4" t="s">
        <v>1733</v>
      </c>
      <c r="I429" s="5" t="str">
        <f>HYPERLINK("https://search.naver.com/search.naver?where=blog&amp;query=%EC%9A%B0%EB%A6%AC%EC%99%95%EB%A7%8C%EB%91%90+%EC%A4%91%EA%B5%AC","블로그 보기")</f>
        <v>블로그 보기</v>
      </c>
      <c r="J429" s="5" t="str">
        <f>HYPERLINK("http://itvplus.co.kr/home5/wangmandu/","업체 보기")</f>
        <v>업체 보기</v>
      </c>
      <c r="K429" s="5"/>
      <c r="L429" s="4"/>
      <c r="M429" s="7">
        <v>46223</v>
      </c>
      <c r="N429" s="8">
        <v>100</v>
      </c>
      <c r="O429" s="8">
        <v>94</v>
      </c>
      <c r="P429" s="8">
        <v>3507</v>
      </c>
      <c r="Q429" s="8">
        <v>1</v>
      </c>
      <c r="R429" s="8">
        <v>1</v>
      </c>
      <c r="S429" s="4" t="s">
        <v>1657</v>
      </c>
      <c r="T429" s="9">
        <v>36.314203900000003</v>
      </c>
      <c r="U429" s="9">
        <v>127.4364911</v>
      </c>
    </row>
    <row r="430" spans="1:21" ht="32.1" customHeight="1">
      <c r="A430" s="5" t="s">
        <v>36</v>
      </c>
      <c r="B430" s="5" t="s">
        <v>13</v>
      </c>
      <c r="C430" s="4" t="s">
        <v>1734</v>
      </c>
      <c r="D430" s="4" t="s">
        <v>215</v>
      </c>
      <c r="E430" s="6">
        <v>57</v>
      </c>
      <c r="F430" s="4" t="s">
        <v>56</v>
      </c>
      <c r="G430" s="4" t="s">
        <v>1735</v>
      </c>
      <c r="H430" s="4" t="s">
        <v>1736</v>
      </c>
      <c r="I430" s="5" t="str">
        <f>HYPERLINK("https://search.naver.com/search.naver?where=blog&amp;query=%EC%A7%80%EA%B8%80%EC%A7%80%EA%B8%80+%EC%A4%91%EA%B5%AC","블로그 보기")</f>
        <v>블로그 보기</v>
      </c>
      <c r="J430" s="5"/>
      <c r="K430" s="5"/>
      <c r="L430" s="4"/>
      <c r="M430" s="7">
        <v>46223</v>
      </c>
      <c r="N430" s="8">
        <v>100</v>
      </c>
      <c r="O430" s="8">
        <v>95</v>
      </c>
      <c r="P430" s="8">
        <v>35729</v>
      </c>
      <c r="Q430" s="8">
        <v>1</v>
      </c>
      <c r="R430" s="8">
        <v>1</v>
      </c>
      <c r="S430" s="4" t="s">
        <v>1719</v>
      </c>
      <c r="T430" s="9">
        <v>36.314245800000002</v>
      </c>
      <c r="U430" s="9">
        <v>127.4382602</v>
      </c>
    </row>
    <row r="431" spans="1:21" ht="32.1" customHeight="1">
      <c r="A431" s="5" t="s">
        <v>36</v>
      </c>
      <c r="B431" s="5" t="s">
        <v>13</v>
      </c>
      <c r="C431" s="4" t="s">
        <v>1737</v>
      </c>
      <c r="D431" s="4" t="s">
        <v>248</v>
      </c>
      <c r="E431" s="6">
        <v>57</v>
      </c>
      <c r="F431" s="4" t="s">
        <v>56</v>
      </c>
      <c r="G431" s="4" t="s">
        <v>1738</v>
      </c>
      <c r="H431" s="4" t="s">
        <v>1739</v>
      </c>
      <c r="I431" s="5" t="str">
        <f>HYPERLINK("https://search.naver.com/search.naver?where=blog&amp;query=%ED%95%98%EB%82%98%EB%B6%84%EC%8B%9D+%EC%A4%91%EA%B5%AC","블로그 보기")</f>
        <v>블로그 보기</v>
      </c>
      <c r="J431" s="5"/>
      <c r="K431" s="5"/>
      <c r="L431" s="4"/>
      <c r="M431" s="7">
        <v>46223</v>
      </c>
      <c r="N431" s="8">
        <v>100</v>
      </c>
      <c r="O431" s="8">
        <v>92</v>
      </c>
      <c r="P431" s="8">
        <v>16887</v>
      </c>
      <c r="Q431" s="8">
        <v>1</v>
      </c>
      <c r="R431" s="8">
        <v>1</v>
      </c>
      <c r="S431" s="4" t="s">
        <v>1657</v>
      </c>
      <c r="T431" s="9">
        <v>36.3144426</v>
      </c>
      <c r="U431" s="9">
        <v>127.4363713</v>
      </c>
    </row>
    <row r="432" spans="1:21" ht="32.1" customHeight="1">
      <c r="A432" s="5" t="s">
        <v>36</v>
      </c>
      <c r="B432" s="5" t="s">
        <v>13</v>
      </c>
      <c r="C432" s="4" t="s">
        <v>1740</v>
      </c>
      <c r="D432" s="4" t="s">
        <v>71</v>
      </c>
      <c r="E432" s="6">
        <v>55</v>
      </c>
      <c r="F432" s="4" t="s">
        <v>56</v>
      </c>
      <c r="G432" s="4" t="s">
        <v>1741</v>
      </c>
      <c r="H432" s="4" t="s">
        <v>1742</v>
      </c>
      <c r="I432" s="5" t="str">
        <f>HYPERLINK("https://search.naver.com/search.naver?where=blog&amp;query=%EC%95%A0%EA%B5%AD%EC%A7%91+%EC%A4%91%EA%B5%AC","블로그 보기")</f>
        <v>블로그 보기</v>
      </c>
      <c r="J432" s="5" t="str">
        <f>HYPERLINK("https://app.catchtable.co.kr/ct/shop/koreahouse_?type=WAITING¤tSuggestionType=SHOP_NAME","업체 보기")</f>
        <v>업체 보기</v>
      </c>
      <c r="K432" s="5"/>
      <c r="L432" s="4"/>
      <c r="M432" s="7">
        <v>46218</v>
      </c>
      <c r="N432" s="8">
        <v>100</v>
      </c>
      <c r="O432" s="8">
        <v>94</v>
      </c>
      <c r="P432" s="8">
        <v>267</v>
      </c>
      <c r="Q432" s="8">
        <v>2</v>
      </c>
      <c r="R432" s="8">
        <v>0</v>
      </c>
      <c r="S432" s="4" t="s">
        <v>1694</v>
      </c>
      <c r="T432" s="9">
        <v>36.321561199999998</v>
      </c>
      <c r="U432" s="9">
        <v>127.42058539999999</v>
      </c>
    </row>
    <row r="433" spans="1:21" ht="32.1" customHeight="1">
      <c r="A433" s="5" t="s">
        <v>36</v>
      </c>
      <c r="B433" s="5" t="s">
        <v>13</v>
      </c>
      <c r="C433" s="4" t="s">
        <v>1743</v>
      </c>
      <c r="D433" s="4" t="s">
        <v>125</v>
      </c>
      <c r="E433" s="6">
        <v>55</v>
      </c>
      <c r="F433" s="4" t="s">
        <v>45</v>
      </c>
      <c r="G433" s="4" t="s">
        <v>1744</v>
      </c>
      <c r="H433" s="4" t="s">
        <v>1745</v>
      </c>
      <c r="I433" s="5" t="str">
        <f>HYPERLINK("https://search.naver.com/search.naver?where=blog&amp;query=%EC%A1%B0%EA%B8%B0%EC%A2%85%EC%9D%98%ED%96%A5%EB%AF%B8%EA%B0%81+%EB%8C%80%EC%A0%84%EC%B6%A9%EB%8C%80%EB%B3%91%EC%9B%90%EC%A0%90+%EC%A4%91%EA%B5%AC","블로그 보기")</f>
        <v>블로그 보기</v>
      </c>
      <c r="J433" s="5"/>
      <c r="K433" s="5"/>
      <c r="L433" s="4"/>
      <c r="M433" s="7">
        <v>46191</v>
      </c>
      <c r="N433" s="8">
        <v>100</v>
      </c>
      <c r="O433" s="8">
        <v>97</v>
      </c>
      <c r="P433" s="8">
        <v>123</v>
      </c>
      <c r="Q433" s="8">
        <v>1</v>
      </c>
      <c r="R433" s="8">
        <v>0</v>
      </c>
      <c r="S433" s="4" t="s">
        <v>1698</v>
      </c>
      <c r="T433" s="9">
        <v>36.318036599999999</v>
      </c>
      <c r="U433" s="9">
        <v>127.41444509999999</v>
      </c>
    </row>
    <row r="434" spans="1:21" ht="32.1" customHeight="1">
      <c r="A434" s="5" t="s">
        <v>36</v>
      </c>
      <c r="B434" s="5" t="s">
        <v>13</v>
      </c>
      <c r="C434" s="4" t="s">
        <v>1746</v>
      </c>
      <c r="D434" s="4" t="s">
        <v>354</v>
      </c>
      <c r="E434" s="6">
        <v>55</v>
      </c>
      <c r="F434" s="4" t="s">
        <v>1747</v>
      </c>
      <c r="G434" s="4" t="s">
        <v>1748</v>
      </c>
      <c r="H434" s="4" t="s">
        <v>1749</v>
      </c>
      <c r="I434" s="5" t="str">
        <f>HYPERLINK("https://search.naver.com/search.naver?where=blog&amp;query=%ED%95%98%EC%BF%A0%EB%A5%98%EC%BD%94%EC%BF%A0%EB%A5%98+%EB%B3%B8%EC%A0%90+%EC%A4%91%EA%B5%AC","블로그 보기")</f>
        <v>블로그 보기</v>
      </c>
      <c r="J434" s="5" t="str">
        <f>HYPERLINK("https://litt.ly/hakuryu_kokuryu","업체 보기")</f>
        <v>업체 보기</v>
      </c>
      <c r="K434" s="5"/>
      <c r="L434" s="4"/>
      <c r="M434" s="7">
        <v>46220</v>
      </c>
      <c r="N434" s="8">
        <v>98</v>
      </c>
      <c r="O434" s="8">
        <v>97</v>
      </c>
      <c r="P434" s="8">
        <v>106</v>
      </c>
      <c r="Q434" s="8">
        <v>1</v>
      </c>
      <c r="R434" s="8">
        <v>0</v>
      </c>
      <c r="S434" s="4" t="s">
        <v>1687</v>
      </c>
      <c r="T434" s="9">
        <v>36.324934900000002</v>
      </c>
      <c r="U434" s="9">
        <v>127.4238479</v>
      </c>
    </row>
    <row r="435" spans="1:21" ht="32.1" customHeight="1">
      <c r="A435" s="5" t="s">
        <v>36</v>
      </c>
      <c r="B435" s="5" t="s">
        <v>13</v>
      </c>
      <c r="C435" s="4" t="s">
        <v>1750</v>
      </c>
      <c r="D435" s="4" t="s">
        <v>38</v>
      </c>
      <c r="E435" s="6">
        <v>54</v>
      </c>
      <c r="F435" s="4" t="s">
        <v>715</v>
      </c>
      <c r="G435" s="4" t="s">
        <v>1751</v>
      </c>
      <c r="H435" s="4" t="s">
        <v>1752</v>
      </c>
      <c r="I435" s="5" t="str">
        <f>HYPERLINK("https://search.naver.com/search.naver?where=blog&amp;query=%EC%86%8C%EB%8B%B4%EC%B9%BC%EA%B5%AD%EC%88%98%EC%AD%88%EA%BE%B8%EB%AF%B8+%EB%AC%B8%ED%99%94%EC%A0%90+%EC%A4%91%EA%B5%AC","블로그 보기")</f>
        <v>블로그 보기</v>
      </c>
      <c r="J435" s="5" t="str">
        <f>HYPERLINK("https://www.instagram.com/sodam_munhwa","업체 보기")</f>
        <v>업체 보기</v>
      </c>
      <c r="K435" s="5"/>
      <c r="L435" s="4"/>
      <c r="M435" s="7">
        <v>46192</v>
      </c>
      <c r="N435" s="8">
        <v>51</v>
      </c>
      <c r="O435" s="8">
        <v>51</v>
      </c>
      <c r="P435" s="8">
        <v>51</v>
      </c>
      <c r="Q435" s="8">
        <v>1</v>
      </c>
      <c r="R435" s="8">
        <v>0</v>
      </c>
      <c r="S435" s="4" t="s">
        <v>1753</v>
      </c>
      <c r="T435" s="9">
        <v>36.314500500000001</v>
      </c>
      <c r="U435" s="9">
        <v>127.4164569</v>
      </c>
    </row>
    <row r="436" spans="1:21" ht="32.1" customHeight="1">
      <c r="A436" s="5" t="s">
        <v>36</v>
      </c>
      <c r="B436" s="5" t="s">
        <v>13</v>
      </c>
      <c r="C436" s="4" t="s">
        <v>1754</v>
      </c>
      <c r="D436" s="4" t="s">
        <v>71</v>
      </c>
      <c r="E436" s="6">
        <v>54</v>
      </c>
      <c r="F436" s="4" t="s">
        <v>56</v>
      </c>
      <c r="G436" s="4" t="s">
        <v>1755</v>
      </c>
      <c r="H436" s="4" t="s">
        <v>1756</v>
      </c>
      <c r="I436" s="5" t="str">
        <f>HYPERLINK("https://search.naver.com/search.naver?where=blog&amp;query=%EC%B2%AD%EA%B5%AD%EC%9E%A5%EC%9D%B4%EC%95%BC%EA%B8%B0+%EC%A4%91%EA%B5%AC","블로그 보기")</f>
        <v>블로그 보기</v>
      </c>
      <c r="J436" s="5"/>
      <c r="K436" s="5"/>
      <c r="L436" s="4"/>
      <c r="M436" s="7">
        <v>46223</v>
      </c>
      <c r="N436" s="8">
        <v>100</v>
      </c>
      <c r="O436" s="8">
        <v>98</v>
      </c>
      <c r="P436" s="8">
        <v>2158</v>
      </c>
      <c r="Q436" s="8">
        <v>1</v>
      </c>
      <c r="R436" s="8">
        <v>0</v>
      </c>
      <c r="S436" s="4" t="s">
        <v>1757</v>
      </c>
      <c r="T436" s="9">
        <v>36.311449099999997</v>
      </c>
      <c r="U436" s="9">
        <v>127.4197305</v>
      </c>
    </row>
    <row r="437" spans="1:21" ht="32.1" customHeight="1">
      <c r="A437" s="5" t="s">
        <v>36</v>
      </c>
      <c r="B437" s="5" t="s">
        <v>13</v>
      </c>
      <c r="C437" s="4" t="s">
        <v>1758</v>
      </c>
      <c r="D437" s="4" t="s">
        <v>55</v>
      </c>
      <c r="E437" s="6">
        <v>53</v>
      </c>
      <c r="F437" s="4" t="s">
        <v>1599</v>
      </c>
      <c r="G437" s="4" t="s">
        <v>1759</v>
      </c>
      <c r="H437" s="4" t="s">
        <v>1760</v>
      </c>
      <c r="I437" s="5" t="str">
        <f>HYPERLINK("https://search.naver.com/search.naver?where=blog&amp;query=%ED%95%9C%EB%AF%BC%EC%88%9C%EB%8C%80+%EC%A4%91%EA%B5%AC","블로그 보기")</f>
        <v>블로그 보기</v>
      </c>
      <c r="J437" s="5"/>
      <c r="K437" s="5"/>
      <c r="L437" s="4"/>
      <c r="M437" s="7">
        <v>46219</v>
      </c>
      <c r="N437" s="8">
        <v>41</v>
      </c>
      <c r="O437" s="8">
        <v>79</v>
      </c>
      <c r="P437" s="8">
        <v>168</v>
      </c>
      <c r="Q437" s="8">
        <v>1</v>
      </c>
      <c r="R437" s="8">
        <v>1</v>
      </c>
      <c r="S437" s="4" t="s">
        <v>1761</v>
      </c>
      <c r="T437" s="9">
        <v>36.314982399999998</v>
      </c>
      <c r="U437" s="9">
        <v>127.438726</v>
      </c>
    </row>
    <row r="438" spans="1:21" ht="32.1" customHeight="1">
      <c r="A438" s="5" t="s">
        <v>36</v>
      </c>
      <c r="B438" s="5" t="s">
        <v>13</v>
      </c>
      <c r="C438" s="4" t="s">
        <v>1762</v>
      </c>
      <c r="D438" s="4" t="s">
        <v>71</v>
      </c>
      <c r="E438" s="6">
        <v>52</v>
      </c>
      <c r="F438" s="4" t="s">
        <v>1763</v>
      </c>
      <c r="G438" s="4" t="s">
        <v>1764</v>
      </c>
      <c r="H438" s="4" t="s">
        <v>1765</v>
      </c>
      <c r="I438" s="5" t="str">
        <f>HYPERLINK("https://search.naver.com/search.naver?where=blog&amp;query=%EA%B0%95%EB%B3%80%EC%82%B0%EB%8B%AD+%EB%B3%B8%EC%A0%90+%EC%A4%91%EA%B5%AC","블로그 보기")</f>
        <v>블로그 보기</v>
      </c>
      <c r="J438" s="5"/>
      <c r="K438" s="5"/>
      <c r="L438" s="4"/>
      <c r="M438" s="7">
        <v>45918</v>
      </c>
      <c r="N438" s="8">
        <v>7</v>
      </c>
      <c r="O438" s="8">
        <v>20</v>
      </c>
      <c r="P438" s="8">
        <v>25</v>
      </c>
      <c r="Q438" s="8">
        <v>1</v>
      </c>
      <c r="R438" s="8">
        <v>0</v>
      </c>
      <c r="S438" s="4" t="s">
        <v>1702</v>
      </c>
      <c r="T438" s="9">
        <v>36.325790699999999</v>
      </c>
      <c r="U438" s="9">
        <v>127.4225153</v>
      </c>
    </row>
    <row r="439" spans="1:21" ht="32.1" customHeight="1">
      <c r="A439" s="5" t="s">
        <v>36</v>
      </c>
      <c r="B439" s="5" t="s">
        <v>13</v>
      </c>
      <c r="C439" s="4" t="s">
        <v>1766</v>
      </c>
      <c r="D439" s="4" t="s">
        <v>96</v>
      </c>
      <c r="E439" s="6">
        <v>52</v>
      </c>
      <c r="F439" s="4" t="s">
        <v>1767</v>
      </c>
      <c r="G439" s="4" t="s">
        <v>1768</v>
      </c>
      <c r="H439" s="4" t="s">
        <v>1769</v>
      </c>
      <c r="I439" s="5" t="str">
        <f>HYPERLINK("https://search.naver.com/search.naver?where=blog&amp;query=%EA%B3%A0%EB%8D%95%EA%B0%88%EB%B9%84+%EC%A4%91%EA%B5%AC","블로그 보기")</f>
        <v>블로그 보기</v>
      </c>
      <c r="J439" s="5"/>
      <c r="K439" s="5"/>
      <c r="L439" s="4"/>
      <c r="M439" s="7">
        <v>46215</v>
      </c>
      <c r="N439" s="8">
        <v>95</v>
      </c>
      <c r="O439" s="8">
        <v>78</v>
      </c>
      <c r="P439" s="8">
        <v>556</v>
      </c>
      <c r="Q439" s="8">
        <v>1</v>
      </c>
      <c r="R439" s="8">
        <v>0</v>
      </c>
      <c r="S439" s="4" t="s">
        <v>1719</v>
      </c>
      <c r="T439" s="9">
        <v>36.306176600000001</v>
      </c>
      <c r="U439" s="9">
        <v>127.40409510000001</v>
      </c>
    </row>
    <row r="440" spans="1:21" ht="32.1" customHeight="1">
      <c r="A440" s="5" t="s">
        <v>36</v>
      </c>
      <c r="B440" s="5" t="s">
        <v>13</v>
      </c>
      <c r="C440" s="4" t="s">
        <v>1770</v>
      </c>
      <c r="D440" s="4" t="s">
        <v>853</v>
      </c>
      <c r="E440" s="6">
        <v>52</v>
      </c>
      <c r="F440" s="4" t="s">
        <v>56</v>
      </c>
      <c r="G440" s="4" t="s">
        <v>1771</v>
      </c>
      <c r="H440" s="4" t="s">
        <v>1772</v>
      </c>
      <c r="I440" s="5" t="str">
        <f>HYPERLINK("https://search.naver.com/search.naver?where=blog&amp;query=%EB%AC%B8%ED%99%94%EC%86%90%EB%A7%8C%EB%91%90+%EC%A4%91%EA%B5%AC","블로그 보기")</f>
        <v>블로그 보기</v>
      </c>
      <c r="J440" s="5"/>
      <c r="K440" s="5"/>
      <c r="L440" s="4"/>
      <c r="M440" s="7">
        <v>46220</v>
      </c>
      <c r="N440" s="8">
        <v>100</v>
      </c>
      <c r="O440" s="8">
        <v>99</v>
      </c>
      <c r="P440" s="8">
        <v>960</v>
      </c>
      <c r="Q440" s="8">
        <v>1</v>
      </c>
      <c r="R440" s="8">
        <v>0</v>
      </c>
      <c r="S440" s="4" t="s">
        <v>1657</v>
      </c>
      <c r="T440" s="9">
        <v>36.311020599999999</v>
      </c>
      <c r="U440" s="9">
        <v>127.4106566</v>
      </c>
    </row>
    <row r="441" spans="1:21" ht="32.1" customHeight="1">
      <c r="A441" s="5" t="s">
        <v>36</v>
      </c>
      <c r="B441" s="5" t="s">
        <v>13</v>
      </c>
      <c r="C441" s="4" t="s">
        <v>1773</v>
      </c>
      <c r="D441" s="4" t="s">
        <v>306</v>
      </c>
      <c r="E441" s="6">
        <v>51</v>
      </c>
      <c r="F441" s="4" t="s">
        <v>1774</v>
      </c>
      <c r="G441" s="4" t="s">
        <v>1775</v>
      </c>
      <c r="H441" s="4" t="s">
        <v>1776</v>
      </c>
      <c r="I441" s="5" t="str">
        <f>HYPERLINK("https://search.naver.com/search.naver?where=blog&amp;query=%EB%8F%88%ED%83%9C%EC%9D%BC+%EC%A4%91%EA%B5%AC","블로그 보기")</f>
        <v>블로그 보기</v>
      </c>
      <c r="J441" s="5" t="str">
        <f>HYPERLINK("https://www.instagram.com/don_tail","업체 보기")</f>
        <v>업체 보기</v>
      </c>
      <c r="K441" s="5"/>
      <c r="L441" s="4"/>
      <c r="M441" s="7">
        <v>46221</v>
      </c>
      <c r="N441" s="8">
        <v>32</v>
      </c>
      <c r="O441" s="8">
        <v>31</v>
      </c>
      <c r="P441" s="8">
        <v>32</v>
      </c>
      <c r="Q441" s="8">
        <v>1</v>
      </c>
      <c r="R441" s="8">
        <v>1</v>
      </c>
      <c r="S441" s="4" t="s">
        <v>1687</v>
      </c>
      <c r="T441" s="9">
        <v>36.313322900000003</v>
      </c>
      <c r="U441" s="9">
        <v>127.4365291</v>
      </c>
    </row>
    <row r="442" spans="1:21" ht="32.1" customHeight="1">
      <c r="A442" s="5" t="s">
        <v>36</v>
      </c>
      <c r="B442" s="5" t="s">
        <v>13</v>
      </c>
      <c r="C442" s="4" t="s">
        <v>1777</v>
      </c>
      <c r="D442" s="4" t="s">
        <v>1280</v>
      </c>
      <c r="E442" s="6">
        <v>51</v>
      </c>
      <c r="F442" s="4" t="s">
        <v>56</v>
      </c>
      <c r="G442" s="4" t="s">
        <v>1778</v>
      </c>
      <c r="H442" s="4" t="s">
        <v>1779</v>
      </c>
      <c r="I442" s="5" t="str">
        <f>HYPERLINK("https://search.naver.com/search.naver?where=blog&amp;query=%EB%B3%B4%EB%AC%B8%EC%82%B0%EC%AD%88%EA%BE%B8%EB%AF%B8+%EC%A4%91%EA%B5%AC","블로그 보기")</f>
        <v>블로그 보기</v>
      </c>
      <c r="J442" s="5" t="str">
        <f>HYPERLINK("https://www.instagram.com/bomunsan_jjukkumi?igsh=MXVuMWdoNml1N29iNw%3D%3D&amp;utm_source=qr","업체 보기")</f>
        <v>업체 보기</v>
      </c>
      <c r="K442" s="5"/>
      <c r="L442" s="4"/>
      <c r="M442" s="7">
        <v>46221</v>
      </c>
      <c r="N442" s="8">
        <v>100</v>
      </c>
      <c r="O442" s="8">
        <v>99</v>
      </c>
      <c r="P442" s="8">
        <v>376</v>
      </c>
      <c r="Q442" s="8">
        <v>1</v>
      </c>
      <c r="R442" s="8">
        <v>0</v>
      </c>
      <c r="S442" s="4" t="s">
        <v>1780</v>
      </c>
      <c r="T442" s="9">
        <v>36.308790500000001</v>
      </c>
      <c r="U442" s="9">
        <v>127.4188029</v>
      </c>
    </row>
    <row r="443" spans="1:21" ht="32.1" customHeight="1">
      <c r="A443" s="5" t="s">
        <v>36</v>
      </c>
      <c r="B443" s="5" t="s">
        <v>13</v>
      </c>
      <c r="C443" s="4" t="s">
        <v>1781</v>
      </c>
      <c r="D443" s="4" t="s">
        <v>559</v>
      </c>
      <c r="E443" s="6">
        <v>51</v>
      </c>
      <c r="F443" s="4" t="s">
        <v>66</v>
      </c>
      <c r="G443" s="4" t="s">
        <v>1782</v>
      </c>
      <c r="H443" s="4" t="s">
        <v>1783</v>
      </c>
      <c r="I443" s="5" t="str">
        <f>HYPERLINK("https://search.naver.com/search.naver?where=blog&amp;query=%EC%86%8C%EB%B0%94%EB%85%B8%ED%95%98%EB%82%98+%EC%A4%91%EA%B5%AC","블로그 보기")</f>
        <v>블로그 보기</v>
      </c>
      <c r="J443" s="5"/>
      <c r="K443" s="5"/>
      <c r="L443" s="4"/>
      <c r="M443" s="7">
        <v>46221</v>
      </c>
      <c r="N443" s="8">
        <v>76</v>
      </c>
      <c r="O443" s="8">
        <v>88</v>
      </c>
      <c r="P443" s="8">
        <v>391</v>
      </c>
      <c r="Q443" s="8">
        <v>1</v>
      </c>
      <c r="R443" s="8">
        <v>0</v>
      </c>
      <c r="S443" s="4" t="s">
        <v>1687</v>
      </c>
      <c r="T443" s="9">
        <v>36.3224965</v>
      </c>
      <c r="U443" s="9">
        <v>127.41556970000001</v>
      </c>
    </row>
    <row r="444" spans="1:21" ht="32.1" customHeight="1">
      <c r="A444" s="5" t="s">
        <v>36</v>
      </c>
      <c r="B444" s="5" t="s">
        <v>13</v>
      </c>
      <c r="C444" s="4" t="s">
        <v>1784</v>
      </c>
      <c r="D444" s="4" t="s">
        <v>44</v>
      </c>
      <c r="E444" s="6">
        <v>51</v>
      </c>
      <c r="F444" s="4" t="s">
        <v>1785</v>
      </c>
      <c r="G444" s="4" t="s">
        <v>1786</v>
      </c>
      <c r="H444" s="4" t="s">
        <v>1787</v>
      </c>
      <c r="I444" s="5" t="str">
        <f>HYPERLINK("https://search.naver.com/search.naver?where=blog&amp;query=%EC%B2%AD%EC%84%9D%EA%B3%A8%EC%B9%A1%EB%83%89%EB%A9%B4+%EC%82%B0%EC%84%B1%EB%8F%99","블로그 보기")</f>
        <v>블로그 보기</v>
      </c>
      <c r="J444" s="5"/>
      <c r="K444" s="5"/>
      <c r="L444" s="4"/>
      <c r="M444" s="7">
        <v>46221</v>
      </c>
      <c r="N444" s="8">
        <v>56</v>
      </c>
      <c r="O444" s="8">
        <v>99</v>
      </c>
      <c r="P444" s="8">
        <v>367</v>
      </c>
      <c r="Q444" s="8">
        <v>1</v>
      </c>
      <c r="R444" s="8">
        <v>0</v>
      </c>
      <c r="S444" s="4" t="s">
        <v>1788</v>
      </c>
      <c r="T444" s="9">
        <v>36.306997000000003</v>
      </c>
      <c r="U444" s="9">
        <v>127.39524590000001</v>
      </c>
    </row>
    <row r="445" spans="1:21" ht="32.1" customHeight="1">
      <c r="A445" s="5" t="s">
        <v>36</v>
      </c>
      <c r="B445" s="5" t="s">
        <v>13</v>
      </c>
      <c r="C445" s="4" t="s">
        <v>1789</v>
      </c>
      <c r="D445" s="4" t="s">
        <v>381</v>
      </c>
      <c r="E445" s="6">
        <v>51</v>
      </c>
      <c r="F445" s="4" t="s">
        <v>56</v>
      </c>
      <c r="G445" s="4" t="s">
        <v>1790</v>
      </c>
      <c r="H445" s="4" t="s">
        <v>1791</v>
      </c>
      <c r="I445" s="5" t="str">
        <f>HYPERLINK("https://search.naver.com/search.naver?where=blog&amp;query=%ED%8C%8C%EB%8F%84%EC%83%81%ED%9A%8C+%EC%A4%91%EA%B5%AC","블로그 보기")</f>
        <v>블로그 보기</v>
      </c>
      <c r="J445" s="5" t="str">
        <f>HYPERLINK("https://www.instagram.com/pado_sojubar?igsh=eW9yZzhnY2tiY3Js","업체 보기")</f>
        <v>업체 보기</v>
      </c>
      <c r="K445" s="5"/>
      <c r="L445" s="4"/>
      <c r="M445" s="7">
        <v>46221</v>
      </c>
      <c r="N445" s="8">
        <v>100</v>
      </c>
      <c r="O445" s="8">
        <v>99</v>
      </c>
      <c r="P445" s="8">
        <v>454</v>
      </c>
      <c r="Q445" s="8">
        <v>1</v>
      </c>
      <c r="R445" s="8">
        <v>0</v>
      </c>
      <c r="S445" s="4" t="s">
        <v>1780</v>
      </c>
      <c r="T445" s="9">
        <v>36.326165000000003</v>
      </c>
      <c r="U445" s="9">
        <v>127.42305899999999</v>
      </c>
    </row>
    <row r="446" spans="1:21" ht="32.1" customHeight="1">
      <c r="A446" s="5" t="s">
        <v>36</v>
      </c>
      <c r="B446" s="5" t="s">
        <v>13</v>
      </c>
      <c r="C446" s="4" t="s">
        <v>1792</v>
      </c>
      <c r="D446" s="4" t="s">
        <v>125</v>
      </c>
      <c r="E446" s="6">
        <v>50</v>
      </c>
      <c r="F446" s="4" t="s">
        <v>267</v>
      </c>
      <c r="G446" s="4" t="s">
        <v>1793</v>
      </c>
      <c r="H446" s="4" t="s">
        <v>1794</v>
      </c>
      <c r="I446" s="5" t="str">
        <f>HYPERLINK("https://search.naver.com/search.naver?where=blog&amp;query=%EB%8F%84%EC%96%B4%EB%B8%94+%EC%A4%91%EA%B5%AC","블로그 보기")</f>
        <v>블로그 보기</v>
      </c>
      <c r="J446" s="5" t="str">
        <f>HYPERLINK("https://www.instagram.com/doable_8","업체 보기")</f>
        <v>업체 보기</v>
      </c>
      <c r="K446" s="5"/>
      <c r="L446" s="4"/>
      <c r="M446" s="7">
        <v>46221</v>
      </c>
      <c r="N446" s="8">
        <v>35</v>
      </c>
      <c r="O446" s="8">
        <v>95</v>
      </c>
      <c r="P446" s="8">
        <v>156</v>
      </c>
      <c r="Q446" s="8">
        <v>1</v>
      </c>
      <c r="R446" s="8">
        <v>0</v>
      </c>
      <c r="S446" s="4" t="s">
        <v>1698</v>
      </c>
      <c r="T446" s="9">
        <v>36.323540000000001</v>
      </c>
      <c r="U446" s="9">
        <v>127.4252268</v>
      </c>
    </row>
    <row r="447" spans="1:21" ht="32.1" customHeight="1">
      <c r="A447" s="5" t="s">
        <v>36</v>
      </c>
      <c r="B447" s="5" t="s">
        <v>13</v>
      </c>
      <c r="C447" s="4" t="s">
        <v>1795</v>
      </c>
      <c r="D447" s="4" t="s">
        <v>125</v>
      </c>
      <c r="E447" s="6">
        <v>49</v>
      </c>
      <c r="F447" s="4" t="s">
        <v>1796</v>
      </c>
      <c r="G447" s="4" t="s">
        <v>1797</v>
      </c>
      <c r="H447" s="4" t="s">
        <v>1798</v>
      </c>
      <c r="I447" s="5" t="str">
        <f>HYPERLINK("https://search.naver.com/search.naver?where=blog&amp;query=%EB%9D%BC%EC%9D%B4%EB%9D%BC%EC%9D%B4+%EC%A4%91%EC%8B%9D%EB%8B%B9+%EC%A4%91%EA%B5%AC","블로그 보기")</f>
        <v>블로그 보기</v>
      </c>
      <c r="J447" s="5" t="str">
        <f>HYPERLINK("https://blog.naver.com/minsunki119","업체 보기")</f>
        <v>업체 보기</v>
      </c>
      <c r="K447" s="5"/>
      <c r="L447" s="4"/>
      <c r="M447" s="7">
        <v>46188</v>
      </c>
      <c r="N447" s="8">
        <v>7</v>
      </c>
      <c r="O447" s="8">
        <v>19</v>
      </c>
      <c r="P447" s="8">
        <v>20</v>
      </c>
      <c r="Q447" s="8">
        <v>1</v>
      </c>
      <c r="R447" s="8">
        <v>1</v>
      </c>
      <c r="S447" s="4" t="s">
        <v>1698</v>
      </c>
      <c r="T447" s="9">
        <v>36.313127100000003</v>
      </c>
      <c r="U447" s="9">
        <v>127.43951629999999</v>
      </c>
    </row>
    <row r="448" spans="1:21" ht="32.1" customHeight="1">
      <c r="A448" s="5" t="s">
        <v>36</v>
      </c>
      <c r="B448" s="5" t="s">
        <v>13</v>
      </c>
      <c r="C448" s="4" t="s">
        <v>1799</v>
      </c>
      <c r="D448" s="4" t="s">
        <v>248</v>
      </c>
      <c r="E448" s="6">
        <v>49</v>
      </c>
      <c r="F448" s="4" t="s">
        <v>323</v>
      </c>
      <c r="G448" s="4" t="s">
        <v>1800</v>
      </c>
      <c r="H448" s="4" t="s">
        <v>1801</v>
      </c>
      <c r="I448" s="5" t="str">
        <f>HYPERLINK("https://search.naver.com/search.naver?where=blog&amp;query=%EB%A6%B4%EB%A0%88%EC%9D%B4%EB%B6%84%EC%8B%9D+%EC%A4%91%EA%B5%AC","블로그 보기")</f>
        <v>블로그 보기</v>
      </c>
      <c r="J448" s="5"/>
      <c r="K448" s="5"/>
      <c r="L448" s="4"/>
      <c r="M448" s="7">
        <v>46188</v>
      </c>
      <c r="N448" s="8">
        <v>23</v>
      </c>
      <c r="O448" s="8">
        <v>68</v>
      </c>
      <c r="P448" s="8">
        <v>71</v>
      </c>
      <c r="Q448" s="8">
        <v>1</v>
      </c>
      <c r="R448" s="8">
        <v>0</v>
      </c>
      <c r="S448" s="4" t="s">
        <v>1657</v>
      </c>
      <c r="T448" s="9">
        <v>36.319461199999999</v>
      </c>
      <c r="U448" s="9">
        <v>127.4165186</v>
      </c>
    </row>
    <row r="449" spans="1:21" ht="32.1" customHeight="1">
      <c r="A449" s="5" t="s">
        <v>36</v>
      </c>
      <c r="B449" s="5" t="s">
        <v>13</v>
      </c>
      <c r="C449" s="4" t="s">
        <v>1802</v>
      </c>
      <c r="D449" s="4" t="s">
        <v>248</v>
      </c>
      <c r="E449" s="6">
        <v>49</v>
      </c>
      <c r="F449" s="4" t="s">
        <v>385</v>
      </c>
      <c r="G449" s="4" t="s">
        <v>1803</v>
      </c>
      <c r="H449" s="4" t="s">
        <v>1804</v>
      </c>
      <c r="I449" s="5" t="str">
        <f>HYPERLINK("https://search.naver.com/search.naver?where=blog&amp;query=%EB%A7%A4%EC%9D%BC%EB%B4%84+%EC%A4%91%EA%B5%AC","블로그 보기")</f>
        <v>블로그 보기</v>
      </c>
      <c r="J449" s="5"/>
      <c r="K449" s="5"/>
      <c r="L449" s="4"/>
      <c r="M449" s="7">
        <v>46189</v>
      </c>
      <c r="N449" s="8">
        <v>26</v>
      </c>
      <c r="O449" s="8">
        <v>42</v>
      </c>
      <c r="P449" s="8">
        <v>48</v>
      </c>
      <c r="Q449" s="8">
        <v>1</v>
      </c>
      <c r="R449" s="8">
        <v>0</v>
      </c>
      <c r="S449" s="4" t="s">
        <v>1657</v>
      </c>
      <c r="T449" s="9">
        <v>36.324423000000003</v>
      </c>
      <c r="U449" s="9">
        <v>127.4203083</v>
      </c>
    </row>
    <row r="450" spans="1:21" ht="32.1" customHeight="1">
      <c r="A450" s="5" t="s">
        <v>36</v>
      </c>
      <c r="B450" s="5" t="s">
        <v>13</v>
      </c>
      <c r="C450" s="4" t="s">
        <v>1805</v>
      </c>
      <c r="D450" s="4" t="s">
        <v>125</v>
      </c>
      <c r="E450" s="6">
        <v>49</v>
      </c>
      <c r="F450" s="4" t="s">
        <v>1806</v>
      </c>
      <c r="G450" s="4" t="s">
        <v>1807</v>
      </c>
      <c r="H450" s="4" t="s">
        <v>1808</v>
      </c>
      <c r="I450" s="5" t="str">
        <f>HYPERLINK("https://search.naver.com/search.naver?where=blog&amp;query=%ED%95%B4%ED%83%9C%EA%B4%80+%EC%A4%91%EA%B5%AC","블로그 보기")</f>
        <v>블로그 보기</v>
      </c>
      <c r="J450" s="5" t="str">
        <f>HYPERLINK("https://www.instagram.com/haetaegwan_daejeon","업체 보기")</f>
        <v>업체 보기</v>
      </c>
      <c r="K450" s="5"/>
      <c r="L450" s="4"/>
      <c r="M450" s="7">
        <v>46216</v>
      </c>
      <c r="N450" s="8">
        <v>79</v>
      </c>
      <c r="O450" s="8">
        <v>70</v>
      </c>
      <c r="P450" s="8">
        <v>81</v>
      </c>
      <c r="Q450" s="8">
        <v>1</v>
      </c>
      <c r="R450" s="8">
        <v>0</v>
      </c>
      <c r="S450" s="4" t="s">
        <v>1698</v>
      </c>
      <c r="T450" s="9">
        <v>36.325441900000001</v>
      </c>
      <c r="U450" s="9">
        <v>127.4245083</v>
      </c>
    </row>
    <row r="451" spans="1:21" ht="32.1" customHeight="1">
      <c r="A451" s="5" t="s">
        <v>36</v>
      </c>
      <c r="B451" s="5" t="s">
        <v>13</v>
      </c>
      <c r="C451" s="4" t="s">
        <v>1809</v>
      </c>
      <c r="D451" s="4" t="s">
        <v>96</v>
      </c>
      <c r="E451" s="6">
        <v>48</v>
      </c>
      <c r="F451" s="4" t="s">
        <v>1810</v>
      </c>
      <c r="G451" s="4" t="s">
        <v>1811</v>
      </c>
      <c r="H451" s="4" t="s">
        <v>1812</v>
      </c>
      <c r="I451" s="5" t="str">
        <f>HYPERLINK("https://search.naver.com/search.naver?where=blog&amp;query=1953%EC%84%9C%EC%84%9C%EA%B0%88%EB%B9%84+%EB%B6%80%EC%82%AC%EC%A7%81%EC%98%81%EC%A0%90+%EC%A4%91%EA%B5%AC","블로그 보기")</f>
        <v>블로그 보기</v>
      </c>
      <c r="J451" s="5"/>
      <c r="K451" s="5"/>
      <c r="L451" s="4"/>
      <c r="M451" s="7">
        <v>46178</v>
      </c>
      <c r="N451" s="8">
        <v>30</v>
      </c>
      <c r="O451" s="8">
        <v>20</v>
      </c>
      <c r="P451" s="8">
        <v>41</v>
      </c>
      <c r="Q451" s="8">
        <v>1</v>
      </c>
      <c r="R451" s="8">
        <v>0</v>
      </c>
      <c r="S451" s="4" t="s">
        <v>1719</v>
      </c>
      <c r="T451" s="9">
        <v>36.311520399999999</v>
      </c>
      <c r="U451" s="9">
        <v>127.43755090000001</v>
      </c>
    </row>
    <row r="452" spans="1:21" ht="32.1" customHeight="1">
      <c r="A452" s="5" t="s">
        <v>36</v>
      </c>
      <c r="B452" s="5" t="s">
        <v>13</v>
      </c>
      <c r="C452" s="4" t="s">
        <v>1813</v>
      </c>
      <c r="D452" s="4" t="s">
        <v>210</v>
      </c>
      <c r="E452" s="6">
        <v>48</v>
      </c>
      <c r="F452" s="4" t="s">
        <v>434</v>
      </c>
      <c r="G452" s="4" t="s">
        <v>1814</v>
      </c>
      <c r="H452" s="4" t="s">
        <v>1815</v>
      </c>
      <c r="I452" s="5" t="str">
        <f>HYPERLINK("https://search.naver.com/search.naver?where=blog&amp;query=%EB%A7%88%EB%8B%B4%EC%9D%B4%EB%84%A4%EC%95%A0%ED%98%B8%EB%B0%95%EA%B5%AD%EB%B0%A5+%EC%A4%91%EA%B5%AC","블로그 보기")</f>
        <v>블로그 보기</v>
      </c>
      <c r="J452" s="5"/>
      <c r="K452" s="5"/>
      <c r="L452" s="4"/>
      <c r="M452" s="7">
        <v>46220</v>
      </c>
      <c r="N452" s="8">
        <v>38</v>
      </c>
      <c r="O452" s="8">
        <v>44</v>
      </c>
      <c r="P452" s="8">
        <v>44</v>
      </c>
      <c r="Q452" s="8">
        <v>1</v>
      </c>
      <c r="R452" s="8">
        <v>0</v>
      </c>
      <c r="S452" s="4" t="s">
        <v>1761</v>
      </c>
      <c r="T452" s="9">
        <v>36.316782600000003</v>
      </c>
      <c r="U452" s="9">
        <v>127.4274961</v>
      </c>
    </row>
    <row r="453" spans="1:21" ht="32.1" customHeight="1">
      <c r="A453" s="5" t="s">
        <v>36</v>
      </c>
      <c r="B453" s="5" t="s">
        <v>13</v>
      </c>
      <c r="C453" s="4" t="s">
        <v>1816</v>
      </c>
      <c r="D453" s="4" t="s">
        <v>44</v>
      </c>
      <c r="E453" s="6">
        <v>48</v>
      </c>
      <c r="F453" s="4" t="s">
        <v>165</v>
      </c>
      <c r="G453" s="4" t="s">
        <v>1817</v>
      </c>
      <c r="H453" s="4" t="s">
        <v>1818</v>
      </c>
      <c r="I453" s="5" t="str">
        <f>HYPERLINK("https://search.naver.com/search.naver?where=blog&amp;query=%EC%84%A0%EC%86%8D%EC%B4%88%EC%BD%94%EB%8B%A4%EB%A6%AC%EB%83%89%EB%A9%B4+%EC%A4%91%EA%B5%AC","블로그 보기")</f>
        <v>블로그 보기</v>
      </c>
      <c r="J453" s="5"/>
      <c r="K453" s="5"/>
      <c r="L453" s="4"/>
      <c r="M453" s="7">
        <v>46217</v>
      </c>
      <c r="N453" s="8">
        <v>10</v>
      </c>
      <c r="O453" s="8">
        <v>26</v>
      </c>
      <c r="P453" s="8">
        <v>40</v>
      </c>
      <c r="Q453" s="8">
        <v>1</v>
      </c>
      <c r="R453" s="8">
        <v>0</v>
      </c>
      <c r="S453" s="4" t="s">
        <v>1788</v>
      </c>
      <c r="T453" s="9">
        <v>36.321833400000003</v>
      </c>
      <c r="U453" s="9">
        <v>127.4165952</v>
      </c>
    </row>
    <row r="454" spans="1:21" ht="32.1" hidden="1" customHeight="1">
      <c r="A454" s="5" t="s">
        <v>1857</v>
      </c>
      <c r="B454" s="5" t="s">
        <v>13</v>
      </c>
      <c r="C454" s="4" t="s">
        <v>1819</v>
      </c>
      <c r="D454" s="4" t="s">
        <v>1820</v>
      </c>
      <c r="E454" s="6">
        <v>44</v>
      </c>
      <c r="F454" s="4" t="s">
        <v>805</v>
      </c>
      <c r="G454" s="4" t="s">
        <v>1821</v>
      </c>
      <c r="H454" s="4" t="s">
        <v>1822</v>
      </c>
      <c r="I454" s="5" t="str">
        <f>HYPERLINK("https://search.naver.com/search.naver?where=blog&amp;query=%EC%9D%B4%EC%82%AD%ED%86%A0%EC%8A%A4%ED%8A%B8+%EB%8C%80%EC%A0%84+%EB%AC%B8%ED%99%94%EC%A0%90+%EC%A4%91%EA%B5%AC","블로그 보기")</f>
        <v>블로그 보기</v>
      </c>
      <c r="J454" s="5" t="str">
        <f>HYPERLINK("https://smartorder.beaverworksinc.com/brand/901216","업체 보기")</f>
        <v>업체 보기</v>
      </c>
      <c r="K454" s="5"/>
      <c r="L454" s="4"/>
      <c r="M454" s="7">
        <v>46163</v>
      </c>
      <c r="N454" s="8">
        <v>2</v>
      </c>
      <c r="O454" s="8">
        <v>10</v>
      </c>
      <c r="P454" s="8">
        <v>10</v>
      </c>
      <c r="Q454" s="8">
        <v>1</v>
      </c>
      <c r="R454" s="8">
        <v>1</v>
      </c>
      <c r="S454" s="4" t="s">
        <v>1657</v>
      </c>
      <c r="T454" s="9">
        <v>36.3145636</v>
      </c>
      <c r="U454" s="9">
        <v>127.40441989999999</v>
      </c>
    </row>
    <row r="455" spans="1:21" ht="32.1" customHeight="1">
      <c r="A455" s="5" t="s">
        <v>36</v>
      </c>
      <c r="B455" s="5" t="s">
        <v>13</v>
      </c>
      <c r="C455" s="4" t="s">
        <v>1823</v>
      </c>
      <c r="D455" s="4" t="s">
        <v>71</v>
      </c>
      <c r="E455" s="6">
        <v>42</v>
      </c>
      <c r="F455" s="4" t="s">
        <v>1824</v>
      </c>
      <c r="G455" s="4" t="s">
        <v>1825</v>
      </c>
      <c r="H455" s="4" t="s">
        <v>1826</v>
      </c>
      <c r="I455" s="5" t="str">
        <f>HYPERLINK("https://search.naver.com/search.naver?where=blog&amp;query=%ED%99%A9%EC%84%A0%EC%98%81%EC%88%9C%EB%8C%80+%EB%B3%B8%EC%A0%90+%EC%A4%91%EA%B5%AC","블로그 보기")</f>
        <v>블로그 보기</v>
      </c>
      <c r="J455" s="5"/>
      <c r="K455" s="5"/>
      <c r="L455" s="4"/>
      <c r="M455" s="7">
        <v>46097</v>
      </c>
      <c r="N455" s="8">
        <v>3</v>
      </c>
      <c r="O455" s="8">
        <v>6</v>
      </c>
      <c r="P455" s="8">
        <v>6</v>
      </c>
      <c r="Q455" s="8">
        <v>2</v>
      </c>
      <c r="R455" s="8">
        <v>0</v>
      </c>
      <c r="S455" s="4" t="s">
        <v>1679</v>
      </c>
      <c r="T455" s="9">
        <v>36.318640899999998</v>
      </c>
      <c r="U455" s="9">
        <v>127.4175225</v>
      </c>
    </row>
    <row r="456" spans="1:21" ht="32.1" customHeight="1">
      <c r="A456" s="5" t="s">
        <v>36</v>
      </c>
      <c r="B456" s="5" t="s">
        <v>13</v>
      </c>
      <c r="C456" s="4" t="s">
        <v>1827</v>
      </c>
      <c r="D456" s="4" t="s">
        <v>210</v>
      </c>
      <c r="E456" s="6">
        <v>37</v>
      </c>
      <c r="F456" s="4" t="s">
        <v>1828</v>
      </c>
      <c r="G456" s="4" t="s">
        <v>1829</v>
      </c>
      <c r="H456" s="4" t="s">
        <v>1830</v>
      </c>
      <c r="I456" s="5" t="str">
        <f>HYPERLINK("https://search.naver.com/search.naver?where=blog&amp;query=%EC%84%B1%EC%97%B4%EC%8B%9D%EB%8B%B9+%EC%A4%91%EA%B5%AC","블로그 보기")</f>
        <v>블로그 보기</v>
      </c>
      <c r="J456" s="5"/>
      <c r="K456" s="5"/>
      <c r="L456" s="4"/>
      <c r="M456" s="7">
        <v>45951</v>
      </c>
      <c r="N456" s="8">
        <v>1</v>
      </c>
      <c r="O456" s="8">
        <v>12</v>
      </c>
      <c r="P456" s="8">
        <v>15</v>
      </c>
      <c r="Q456" s="8">
        <v>1</v>
      </c>
      <c r="R456" s="8">
        <v>1</v>
      </c>
      <c r="S456" s="4" t="s">
        <v>1788</v>
      </c>
      <c r="T456" s="9">
        <v>36.314963300000002</v>
      </c>
      <c r="U456" s="9">
        <v>127.43840729999999</v>
      </c>
    </row>
    <row r="457" spans="1:21" ht="32.1" customHeight="1">
      <c r="A457" s="5" t="s">
        <v>36</v>
      </c>
      <c r="B457" s="5" t="s">
        <v>13</v>
      </c>
      <c r="C457" s="4" t="s">
        <v>1831</v>
      </c>
      <c r="D457" s="4" t="s">
        <v>119</v>
      </c>
      <c r="E457" s="6">
        <v>36</v>
      </c>
      <c r="F457" s="4" t="s">
        <v>1828</v>
      </c>
      <c r="G457" s="4" t="s">
        <v>1832</v>
      </c>
      <c r="H457" s="4" t="s">
        <v>1833</v>
      </c>
      <c r="I457" s="5" t="str">
        <f>HYPERLINK("https://search.naver.com/search.naver?where=blog&amp;query=%EB%AC%B8%EC%B0%BD%EB%8B%AD%EC%A7%91+%EC%A4%91%EA%B5%AC","블로그 보기")</f>
        <v>블로그 보기</v>
      </c>
      <c r="J457" s="5"/>
      <c r="K457" s="5"/>
      <c r="L457" s="4"/>
      <c r="M457" s="7">
        <v>45974</v>
      </c>
      <c r="N457" s="8">
        <v>1</v>
      </c>
      <c r="O457" s="8">
        <v>9</v>
      </c>
      <c r="P457" s="8">
        <v>10</v>
      </c>
      <c r="Q457" s="8">
        <v>1</v>
      </c>
      <c r="R457" s="8">
        <v>1</v>
      </c>
      <c r="S457" s="4" t="s">
        <v>1702</v>
      </c>
      <c r="T457" s="9">
        <v>36.314930799999999</v>
      </c>
      <c r="U457" s="9">
        <v>127.43689740000001</v>
      </c>
    </row>
    <row r="458" spans="1:21" ht="32.1" hidden="1" customHeight="1">
      <c r="A458" s="5" t="s">
        <v>1857</v>
      </c>
      <c r="B458" s="5" t="s">
        <v>13</v>
      </c>
      <c r="C458" s="4" t="s">
        <v>1834</v>
      </c>
      <c r="D458" s="4" t="s">
        <v>1820</v>
      </c>
      <c r="E458" s="6">
        <v>36</v>
      </c>
      <c r="F458" s="4" t="s">
        <v>840</v>
      </c>
      <c r="G458" s="4" t="s">
        <v>1835</v>
      </c>
      <c r="H458" s="4" t="s">
        <v>1836</v>
      </c>
      <c r="I458" s="5" t="str">
        <f>HYPERLINK("https://search.naver.com/search.naver?where=blog&amp;query=%EC%9D%B4%EC%82%AD%ED%86%A0%EC%8A%A4%ED%8A%B8+%EB%8C%80%EC%A0%84%EB%B6%80%EC%82%AC%EC%A0%90+%EC%A4%91%EA%B5%AC","블로그 보기")</f>
        <v>블로그 보기</v>
      </c>
      <c r="J458" s="5" t="str">
        <f>HYPERLINK("https://smartorder.beaverworksinc.com/brand/901216","업체 보기")</f>
        <v>업체 보기</v>
      </c>
      <c r="K458" s="5"/>
      <c r="L458" s="4"/>
      <c r="M458" s="7">
        <v>44769</v>
      </c>
      <c r="N458" s="8">
        <v>0</v>
      </c>
      <c r="O458" s="8">
        <v>7</v>
      </c>
      <c r="P458" s="8">
        <v>8</v>
      </c>
      <c r="Q458" s="8">
        <v>1</v>
      </c>
      <c r="R458" s="8">
        <v>1</v>
      </c>
      <c r="S458" s="4" t="s">
        <v>1657</v>
      </c>
      <c r="T458" s="9">
        <v>36.313214500000001</v>
      </c>
      <c r="U458" s="9">
        <v>127.4354233</v>
      </c>
    </row>
    <row r="459" spans="1:21" ht="32.1" customHeight="1">
      <c r="A459" s="5" t="s">
        <v>36</v>
      </c>
      <c r="B459" s="5" t="s">
        <v>13</v>
      </c>
      <c r="C459" s="4" t="s">
        <v>1837</v>
      </c>
      <c r="D459" s="4" t="s">
        <v>306</v>
      </c>
      <c r="E459" s="6">
        <v>31</v>
      </c>
      <c r="F459" s="4" t="s">
        <v>1163</v>
      </c>
      <c r="G459" s="4" t="s">
        <v>1838</v>
      </c>
      <c r="H459" s="4" t="s">
        <v>1839</v>
      </c>
      <c r="I459" s="5" t="str">
        <f>HYPERLINK("https://search.naver.com/search.naver?where=blog&amp;query=%EC%9C%A0%EB%81%BC+%EB%8C%80%EC%82%AC%EB%8F%99","블로그 보기")</f>
        <v>블로그 보기</v>
      </c>
      <c r="J459" s="5"/>
      <c r="K459" s="5"/>
      <c r="L459" s="4"/>
      <c r="M459" s="7">
        <v>46145</v>
      </c>
      <c r="N459" s="8">
        <v>3</v>
      </c>
      <c r="O459" s="8">
        <v>4</v>
      </c>
      <c r="P459" s="8">
        <v>7</v>
      </c>
      <c r="Q459" s="8">
        <v>1</v>
      </c>
      <c r="R459" s="8">
        <v>0</v>
      </c>
      <c r="S459" s="4" t="s">
        <v>1687</v>
      </c>
      <c r="T459" s="9">
        <v>36.310057399999998</v>
      </c>
      <c r="U459" s="9">
        <v>127.4209972</v>
      </c>
    </row>
    <row r="460" spans="1:21" ht="32.1" customHeight="1">
      <c r="A460" s="5" t="s">
        <v>36</v>
      </c>
      <c r="B460" s="5" t="s">
        <v>13</v>
      </c>
      <c r="C460" s="4" t="s">
        <v>1840</v>
      </c>
      <c r="D460" s="4" t="s">
        <v>125</v>
      </c>
      <c r="E460" s="6">
        <v>30</v>
      </c>
      <c r="F460" s="4" t="s">
        <v>1248</v>
      </c>
      <c r="G460" s="4" t="s">
        <v>1841</v>
      </c>
      <c r="H460" s="4" t="s">
        <v>1842</v>
      </c>
      <c r="I460" s="5" t="str">
        <f>HYPERLINK("https://search.naver.com/search.naver?where=blog&amp;query=%EC%A7%9C%EC%9E%A5%EC%99%95%EC%99%95%EC%84%9C%EB%B0%A9+%EC%A4%91%EA%B5%AC","블로그 보기")</f>
        <v>블로그 보기</v>
      </c>
      <c r="J460" s="5"/>
      <c r="K460" s="5"/>
      <c r="L460" s="4"/>
      <c r="M460" s="7">
        <v>46202</v>
      </c>
      <c r="N460" s="8">
        <v>2</v>
      </c>
      <c r="O460" s="8">
        <v>3</v>
      </c>
      <c r="P460" s="8">
        <v>3</v>
      </c>
      <c r="Q460" s="8">
        <v>1</v>
      </c>
      <c r="R460" s="8">
        <v>1</v>
      </c>
      <c r="S460" s="4" t="s">
        <v>1698</v>
      </c>
      <c r="T460" s="9">
        <v>36.3135859</v>
      </c>
      <c r="U460" s="9">
        <v>127.4343631</v>
      </c>
    </row>
    <row r="461" spans="1:21" ht="32.1" customHeight="1">
      <c r="A461" s="5" t="s">
        <v>36</v>
      </c>
      <c r="B461" s="5" t="s">
        <v>13</v>
      </c>
      <c r="C461" s="4" t="s">
        <v>1843</v>
      </c>
      <c r="D461" s="4" t="s">
        <v>170</v>
      </c>
      <c r="E461" s="6">
        <v>19</v>
      </c>
      <c r="F461" s="4" t="s">
        <v>1844</v>
      </c>
      <c r="G461" s="4" t="s">
        <v>1845</v>
      </c>
      <c r="H461" s="4" t="s">
        <v>1846</v>
      </c>
      <c r="I461" s="5" t="str">
        <f>HYPERLINK("https://search.naver.com/search.naver?where=blog&amp;query=%ED%95%9C%EC%B4%8C%EC%84%A4%EB%A0%81%ED%83%95+%EC%B6%A9%EB%82%A8%EB%8C%80%EB%B3%91%EC%9B%90%EC%A0%90+%EC%A4%91%EA%B5%AC","블로그 보기")</f>
        <v>블로그 보기</v>
      </c>
      <c r="J461" s="5"/>
      <c r="K461" s="5"/>
      <c r="L461" s="4"/>
      <c r="M461" s="7"/>
      <c r="N461" s="8">
        <v>0</v>
      </c>
      <c r="O461" s="8">
        <v>0</v>
      </c>
      <c r="P461" s="8">
        <v>0</v>
      </c>
      <c r="Q461" s="8">
        <v>1</v>
      </c>
      <c r="R461" s="8">
        <v>0</v>
      </c>
      <c r="S461" s="4" t="s">
        <v>1702</v>
      </c>
      <c r="T461" s="9">
        <v>36.316907999999998</v>
      </c>
      <c r="U461" s="9">
        <v>127.415363</v>
      </c>
    </row>
  </sheetData>
  <phoneticPr fontId="20" type="noConversion"/>
  <conditionalFormatting sqref="A2:A461">
    <cfRule type="containsText" dxfId="3" priority="1" operator="containsText" text="approved"/>
    <cfRule type="containsText" dxfId="2" priority="2" operator="containsText" text="hold"/>
    <cfRule type="containsText" dxfId="1" priority="3" operator="containsText" text="rejected"/>
    <cfRule type="containsText" dxfId="0" priority="4" operator="containsText" text="pending"/>
  </conditionalFormatting>
  <conditionalFormatting sqref="E2:E46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A2:A461" xr:uid="{00000000-0002-0000-0100-000000000000}">
      <formula1>"pending,approved,hold,rejected"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workbookViewId="0">
      <selection sqref="A1:H2"/>
    </sheetView>
  </sheetViews>
  <sheetFormatPr defaultRowHeight="14.25"/>
  <cols>
    <col min="1" max="1" width="20" customWidth="1"/>
    <col min="2" max="2" width="22" customWidth="1"/>
    <col min="3" max="3" width="34" customWidth="1"/>
    <col min="4" max="6" width="20" customWidth="1"/>
  </cols>
  <sheetData>
    <row r="1" spans="1:8">
      <c r="A1" s="33" t="s">
        <v>1847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4" spans="1:8">
      <c r="A4" s="65" t="s">
        <v>1848</v>
      </c>
      <c r="B4" s="65"/>
      <c r="C4" s="65"/>
      <c r="D4" s="65"/>
      <c r="E4" s="65"/>
      <c r="F4" s="65"/>
      <c r="G4" s="65"/>
      <c r="H4" s="65"/>
    </row>
    <row r="6" spans="1:8" ht="26.1" customHeight="1">
      <c r="A6" s="10" t="s">
        <v>1849</v>
      </c>
      <c r="B6" s="10" t="s">
        <v>1850</v>
      </c>
      <c r="C6" s="10" t="s">
        <v>1851</v>
      </c>
    </row>
    <row r="7" spans="1:8" ht="26.1" customHeight="1">
      <c r="A7" s="12" t="s">
        <v>36</v>
      </c>
      <c r="B7" s="13" t="s">
        <v>2</v>
      </c>
      <c r="C7" s="14" t="s">
        <v>1852</v>
      </c>
    </row>
    <row r="8" spans="1:8" ht="26.1" customHeight="1">
      <c r="A8" s="15" t="s">
        <v>1853</v>
      </c>
      <c r="B8" s="16" t="s">
        <v>3</v>
      </c>
      <c r="C8" s="17" t="s">
        <v>1854</v>
      </c>
    </row>
    <row r="9" spans="1:8" ht="26.1" customHeight="1">
      <c r="A9" s="15" t="s">
        <v>1855</v>
      </c>
      <c r="B9" s="16" t="s">
        <v>4</v>
      </c>
      <c r="C9" s="17" t="s">
        <v>1856</v>
      </c>
    </row>
    <row r="10" spans="1:8" ht="26.1" customHeight="1">
      <c r="A10" s="18" t="s">
        <v>1857</v>
      </c>
      <c r="B10" s="19" t="s">
        <v>5</v>
      </c>
      <c r="C10" s="20" t="s">
        <v>1858</v>
      </c>
    </row>
    <row r="11" spans="1:8" ht="26.1" customHeight="1"/>
    <row r="12" spans="1:8" ht="26.1" customHeight="1"/>
    <row r="13" spans="1:8" ht="26.1" customHeight="1">
      <c r="A13" s="10" t="s">
        <v>1859</v>
      </c>
      <c r="B13" s="10" t="s">
        <v>1860</v>
      </c>
      <c r="C13" s="10"/>
      <c r="D13" s="66" t="s">
        <v>1861</v>
      </c>
      <c r="E13" s="66"/>
      <c r="F13" s="66"/>
    </row>
    <row r="14" spans="1:8" ht="42" customHeight="1">
      <c r="A14" s="27" t="s">
        <v>1862</v>
      </c>
      <c r="B14" s="28" t="s">
        <v>1863</v>
      </c>
      <c r="C14" s="28"/>
      <c r="D14" s="67" t="s">
        <v>1864</v>
      </c>
      <c r="E14" s="67"/>
      <c r="F14" s="68"/>
    </row>
    <row r="15" spans="1:8" ht="42" customHeight="1">
      <c r="A15" s="29" t="s">
        <v>1865</v>
      </c>
      <c r="B15" s="30" t="s">
        <v>1866</v>
      </c>
      <c r="C15" s="30"/>
      <c r="D15" s="69" t="s">
        <v>1867</v>
      </c>
      <c r="E15" s="69"/>
      <c r="F15" s="70"/>
    </row>
    <row r="16" spans="1:8" ht="42" customHeight="1">
      <c r="A16" s="29" t="s">
        <v>1868</v>
      </c>
      <c r="B16" s="30" t="s">
        <v>1869</v>
      </c>
      <c r="C16" s="30"/>
      <c r="D16" s="69" t="s">
        <v>1870</v>
      </c>
      <c r="E16" s="69"/>
      <c r="F16" s="70"/>
    </row>
    <row r="17" spans="1:6" ht="42" customHeight="1">
      <c r="A17" s="29" t="s">
        <v>1871</v>
      </c>
      <c r="B17" s="30" t="s">
        <v>1872</v>
      </c>
      <c r="C17" s="30"/>
      <c r="D17" s="69" t="s">
        <v>1873</v>
      </c>
      <c r="E17" s="69"/>
      <c r="F17" s="70"/>
    </row>
    <row r="18" spans="1:6" ht="42" customHeight="1">
      <c r="A18" s="29" t="s">
        <v>1874</v>
      </c>
      <c r="B18" s="30" t="s">
        <v>1875</v>
      </c>
      <c r="C18" s="30"/>
      <c r="D18" s="69" t="s">
        <v>1876</v>
      </c>
      <c r="E18" s="69"/>
      <c r="F18" s="70"/>
    </row>
    <row r="19" spans="1:6" ht="42" customHeight="1">
      <c r="A19" s="29" t="s">
        <v>1877</v>
      </c>
      <c r="B19" s="30" t="s">
        <v>1878</v>
      </c>
      <c r="C19" s="30"/>
      <c r="D19" s="69" t="s">
        <v>1879</v>
      </c>
      <c r="E19" s="69"/>
      <c r="F19" s="70"/>
    </row>
    <row r="20" spans="1:6" ht="42" customHeight="1">
      <c r="A20" s="31" t="s">
        <v>1880</v>
      </c>
      <c r="B20" s="32" t="s">
        <v>1881</v>
      </c>
      <c r="C20" s="32"/>
      <c r="D20" s="71" t="s">
        <v>1882</v>
      </c>
      <c r="E20" s="71"/>
      <c r="F20" s="72"/>
    </row>
    <row r="21" spans="1:6" ht="26.1" customHeight="1"/>
    <row r="22" spans="1:6" ht="26.1" customHeight="1"/>
    <row r="23" spans="1:6" ht="32.1" customHeight="1">
      <c r="A23" s="73" t="s">
        <v>1883</v>
      </c>
      <c r="B23" s="73"/>
      <c r="C23" s="73"/>
      <c r="D23" s="73"/>
      <c r="E23" s="73"/>
      <c r="F23" s="73"/>
    </row>
    <row r="24" spans="1:6" ht="32.1" customHeight="1">
      <c r="A24" s="73"/>
      <c r="B24" s="73"/>
      <c r="C24" s="73"/>
      <c r="D24" s="73"/>
      <c r="E24" s="73"/>
      <c r="F24" s="73"/>
    </row>
  </sheetData>
  <mergeCells count="11">
    <mergeCell ref="A23:F24"/>
    <mergeCell ref="D16:F16"/>
    <mergeCell ref="D17:F17"/>
    <mergeCell ref="D18:F18"/>
    <mergeCell ref="D19:F19"/>
    <mergeCell ref="D20:F20"/>
    <mergeCell ref="A1:H2"/>
    <mergeCell ref="A4:H4"/>
    <mergeCell ref="D13:F13"/>
    <mergeCell ref="D14:F14"/>
    <mergeCell ref="D15:F15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검토 현황</vt:lpstr>
      <vt:lpstr>후보 검토</vt:lpstr>
      <vt:lpstr>검토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SAMITECH</dc:creator>
  <cp:lastModifiedBy>SAMITECH</cp:lastModifiedBy>
  <dcterms:modified xsi:type="dcterms:W3CDTF">2026-07-21T05:06:57Z</dcterms:modified>
</cp:coreProperties>
</file>