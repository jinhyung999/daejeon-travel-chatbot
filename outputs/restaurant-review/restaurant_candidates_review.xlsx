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2a1e8890e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 현황" sheetId="1" r:id="R5216e69122e04baa"/>
    <x:sheet xmlns:r="http://schemas.openxmlformats.org/officeDocument/2006/relationships" name="후보 검토" sheetId="2" r:id="Rd4243f84637346c0"/>
    <x:sheet xmlns:r="http://schemas.openxmlformats.org/officeDocument/2006/relationships" name="검토 가이드" sheetId="3" r:id="R164944fbe454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00000"/>
  </x:numFmts>
  <x:fonts count="24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20"/>
      <x:color rgb="FFFFFFFF"/>
      <x:name val="Carlito"/>
    </x:font>
    <x:font>
      <x:i/>
      <x:sz val="10"/>
      <x:color rgb="FF065F46"/>
      <x:name val="Carlito"/>
    </x:font>
    <x:font>
      <x:sz val="11"/>
      <x:color rgb="FF374151"/>
      <x:name val="Carlito"/>
    </x:font>
    <x:font>
      <x:b/>
      <x:sz val="10"/>
      <x:color rgb="FF374151"/>
      <x:name val="Carlito"/>
    </x:font>
    <x:font>
      <x:b/>
      <x:sz val="20"/>
      <x:color rgb="FF374151"/>
      <x:name val="Carlito"/>
    </x:font>
    <x:font>
      <x:sz val="11"/>
      <x:color rgb="FF166534"/>
      <x:name val="Carlito"/>
    </x:font>
    <x:font>
      <x:b/>
      <x:sz val="10"/>
      <x:color rgb="FF166534"/>
      <x:name val="Carlito"/>
    </x:font>
    <x:font>
      <x:b/>
      <x:sz val="20"/>
      <x:color rgb="FF166534"/>
      <x:name val="Carlito"/>
    </x:font>
    <x:font>
      <x:sz val="11"/>
      <x:color rgb="FF92400E"/>
      <x:name val="Carlito"/>
    </x:font>
    <x:font>
      <x:b/>
      <x:sz val="10"/>
      <x:color rgb="FF92400E"/>
      <x:name val="Carlito"/>
    </x:font>
    <x:font>
      <x:b/>
      <x:sz val="20"/>
      <x:color rgb="FF92400E"/>
      <x:name val="Carlito"/>
    </x:font>
    <x:font>
      <x:sz val="11"/>
      <x:color rgb="FF991B1B"/>
      <x:name val="Carlito"/>
    </x:font>
    <x:font>
      <x:b/>
      <x:sz val="10"/>
      <x:color rgb="FF991B1B"/>
      <x:name val="Carlito"/>
    </x:font>
    <x:font>
      <x:b/>
      <x:sz val="20"/>
      <x:color rgb="FF991B1B"/>
      <x:name val="Carlito"/>
    </x:font>
    <x:font>
      <x:sz val="11"/>
      <x:color rgb="FF1E40AF"/>
      <x:name val="Carlito"/>
    </x:font>
    <x:font>
      <x:b/>
      <x:sz val="10"/>
      <x:color rgb="FF1E40AF"/>
      <x:name val="Carlito"/>
    </x:font>
    <x:font>
      <x:b/>
      <x:sz val="20"/>
      <x:color rgb="FF1E40A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i/>
      <x:sz val="11"/>
      <x:color rgb="FF065F46"/>
      <x:name val="Carlito"/>
    </x:font>
    <x:font>
      <x:b/>
      <x:sz val="11"/>
      <x:color rgb="FF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134E4A"/>
      </x:patternFill>
    </x:fill>
    <x:fill>
      <x:patternFill patternType="solid">
        <x:fgColor rgb="FFE5E7EB"/>
      </x:patternFill>
    </x:fill>
  </x:fills>
  <x:borders count="21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  <x:bottom style="double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double">
        <x:color rgb="FF9CA3AF"/>
      </x:bottom>
    </x:border>
  </x:borders>
  <x:cellStyleXfs count="1">
    <x:xf numFmtId="0" fontId="0" fillId="0" borderId="0"/>
  </x:cellStyleXfs>
  <x:cellXfs count="2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3" fontId="2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7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6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6" borderId="8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2" fillId="6" borderId="4" xfId="0" applyNumberFormat="1" applyFont="1" applyFill="1" applyBorder="1" applyAlignment="1">
      <x:alignment horizontal="center" vertical="center"/>
    </x:xf>
    <x:xf numFmtId="0" fontId="12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4" xfId="0" applyNumberFormat="1" applyFont="1" applyFill="1" applyBorder="1"/>
    <x:xf numFmtId="0" fontId="14" fillId="7" borderId="5" xfId="0" applyNumberFormat="1" applyFont="1" applyFill="1" applyBorder="1"/>
    <x:xf numFmtId="0" fontId="14" fillId="7" borderId="6" xfId="0" applyNumberFormat="1" applyFont="1" applyFill="1" applyBorder="1"/>
    <x:xf numFmtId="0" fontId="14" fillId="7" borderId="7" xfId="0" applyNumberFormat="1" applyFont="1" applyFill="1" applyBorder="1"/>
    <x:xf numFmtId="0" fontId="14" fillId="7" borderId="8" xfId="0" applyNumberFormat="1" applyFont="1" applyFill="1" applyBorder="1"/>
    <x:xf numFmtId="0" fontId="14" fillId="7" borderId="9" xfId="0" applyNumberFormat="1" applyFont="1" applyFill="1" applyBorder="1"/>
    <x:xf numFmtId="0" fontId="14" fillId="7" borderId="4" xfId="0" applyNumberFormat="1" applyFont="1" applyFill="1" applyBorder="1" applyAlignment="1">
      <x:alignment horizontal="center"/>
    </x:xf>
    <x:xf numFmtId="0" fontId="14" fillId="7" borderId="5" xfId="0" applyNumberFormat="1" applyFont="1" applyFill="1" applyBorder="1" applyAlignment="1">
      <x:alignment horizontal="center"/>
    </x:xf>
    <x:xf numFmtId="0" fontId="14" fillId="7" borderId="6" xfId="0" applyNumberFormat="1" applyFont="1" applyFill="1" applyBorder="1" applyAlignment="1">
      <x:alignment horizontal="center"/>
    </x:xf>
    <x:xf numFmtId="0" fontId="14" fillId="7" borderId="7" xfId="0" applyNumberFormat="1" applyFont="1" applyFill="1" applyBorder="1" applyAlignment="1">
      <x:alignment horizontal="center"/>
    </x:xf>
    <x:xf numFmtId="0" fontId="14" fillId="7" borderId="8" xfId="0" applyNumberFormat="1" applyFont="1" applyFill="1" applyBorder="1" applyAlignment="1">
      <x:alignment horizontal="center"/>
    </x:xf>
    <x:xf numFmtId="0" fontId="14" fillId="7" borderId="9" xfId="0" applyNumberFormat="1" applyFont="1" applyFill="1" applyBorder="1" applyAlignment="1">
      <x:alignment horizontal="center"/>
    </x:xf>
    <x:xf numFmtId="0" fontId="14" fillId="7" borderId="4" xfId="0" applyNumberFormat="1" applyFont="1" applyFill="1" applyBorder="1" applyAlignment="1">
      <x:alignment horizontal="center" vertical="center"/>
    </x:xf>
    <x:xf numFmtId="0" fontId="14" fillId="7" borderId="5" xfId="0" applyNumberFormat="1" applyFont="1" applyFill="1" applyBorder="1" applyAlignment="1">
      <x:alignment horizontal="center" vertical="center"/>
    </x:xf>
    <x:xf numFmtId="0" fontId="14" fillId="7" borderId="6" xfId="0" applyNumberFormat="1" applyFont="1" applyFill="1" applyBorder="1" applyAlignment="1">
      <x:alignment horizontal="center" vertical="center"/>
    </x:xf>
    <x:xf numFmtId="0" fontId="14" fillId="7" borderId="7" xfId="0" applyNumberFormat="1" applyFont="1" applyFill="1" applyBorder="1" applyAlignment="1">
      <x:alignment horizontal="center" vertical="center"/>
    </x:xf>
    <x:xf numFmtId="0" fontId="14" fillId="7" borderId="8" xfId="0" applyNumberFormat="1" applyFont="1" applyFill="1" applyBorder="1" applyAlignment="1">
      <x:alignment horizontal="center" vertical="center"/>
    </x:xf>
    <x:xf numFmtId="0" fontId="14" fillId="7" borderId="9" xfId="0" applyNumberFormat="1" applyFont="1" applyFill="1" applyBorder="1" applyAlignment="1">
      <x:alignment horizontal="center" vertical="center"/>
    </x:xf>
    <x:xf numFmtId="0" fontId="15" fillId="7" borderId="4" xfId="0" applyNumberFormat="1" applyFont="1" applyFill="1" applyBorder="1" applyAlignment="1">
      <x:alignment horizontal="center" vertical="center"/>
    </x:xf>
    <x:xf numFmtId="0" fontId="15" fillId="7" borderId="5" xfId="0" applyNumberFormat="1" applyFont="1" applyFill="1" applyBorder="1" applyAlignment="1">
      <x:alignment horizontal="center" vertical="center"/>
    </x:xf>
    <x:xf numFmtId="0" fontId="16" fillId="7" borderId="6" xfId="0" applyNumberFormat="1" applyFont="1" applyFill="1" applyBorder="1" applyAlignment="1">
      <x:alignment horizontal="center" vertical="center"/>
    </x:xf>
    <x:xf numFmtId="0" fontId="16" fillId="7" borderId="7" xfId="0" applyNumberFormat="1" applyFont="1" applyFill="1" applyBorder="1" applyAlignment="1">
      <x:alignment horizontal="center" vertical="center"/>
    </x:xf>
    <x:xf numFmtId="0" fontId="16" fillId="7" borderId="8" xfId="0" applyNumberFormat="1" applyFont="1" applyFill="1" applyBorder="1" applyAlignment="1">
      <x:alignment horizontal="center" vertical="center"/>
    </x:xf>
    <x:xf numFmtId="0" fontId="16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4" xfId="0" applyNumberFormat="1" applyFont="1" applyFill="1" applyBorder="1"/>
    <x:xf numFmtId="0" fontId="17" fillId="8" borderId="5" xfId="0" applyNumberFormat="1" applyFont="1" applyFill="1" applyBorder="1"/>
    <x:xf numFmtId="0" fontId="17" fillId="8" borderId="6" xfId="0" applyNumberFormat="1" applyFont="1" applyFill="1" applyBorder="1"/>
    <x:xf numFmtId="0" fontId="17" fillId="8" borderId="7" xfId="0" applyNumberFormat="1" applyFont="1" applyFill="1" applyBorder="1"/>
    <x:xf numFmtId="0" fontId="17" fillId="8" borderId="8" xfId="0" applyNumberFormat="1" applyFont="1" applyFill="1" applyBorder="1"/>
    <x:xf numFmtId="0" fontId="17" fillId="8" borderId="9" xfId="0" applyNumberFormat="1" applyFont="1" applyFill="1" applyBorder="1"/>
    <x:xf numFmtId="0" fontId="17" fillId="8" borderId="4" xfId="0" applyNumberFormat="1" applyFont="1" applyFill="1" applyBorder="1" applyAlignment="1">
      <x:alignment horizontal="center"/>
    </x:xf>
    <x:xf numFmtId="0" fontId="17" fillId="8" borderId="5" xfId="0" applyNumberFormat="1" applyFont="1" applyFill="1" applyBorder="1" applyAlignment="1">
      <x:alignment horizontal="center"/>
    </x:xf>
    <x:xf numFmtId="0" fontId="17" fillId="8" borderId="6" xfId="0" applyNumberFormat="1" applyFont="1" applyFill="1" applyBorder="1" applyAlignment="1">
      <x:alignment horizontal="center"/>
    </x:xf>
    <x:xf numFmtId="0" fontId="17" fillId="8" borderId="7" xfId="0" applyNumberFormat="1" applyFont="1" applyFill="1" applyBorder="1" applyAlignment="1">
      <x:alignment horizontal="center"/>
    </x:xf>
    <x:xf numFmtId="0" fontId="17" fillId="8" borderId="8" xfId="0" applyNumberFormat="1" applyFont="1" applyFill="1" applyBorder="1" applyAlignment="1">
      <x:alignment horizontal="center"/>
    </x:xf>
    <x:xf numFmtId="0" fontId="17" fillId="8" borderId="9" xfId="0" applyNumberFormat="1" applyFont="1" applyFill="1" applyBorder="1" applyAlignment="1">
      <x:alignment horizontal="center"/>
    </x:xf>
    <x:xf numFmtId="0" fontId="17" fillId="8" borderId="4" xfId="0" applyNumberFormat="1" applyFont="1" applyFill="1" applyBorder="1" applyAlignment="1">
      <x:alignment horizontal="center" vertical="center"/>
    </x:xf>
    <x:xf numFmtId="0" fontId="17" fillId="8" borderId="5" xfId="0" applyNumberFormat="1" applyFont="1" applyFill="1" applyBorder="1" applyAlignment="1">
      <x:alignment horizontal="center" vertical="center"/>
    </x:xf>
    <x:xf numFmtId="0" fontId="17" fillId="8" borderId="6" xfId="0" applyNumberFormat="1" applyFont="1" applyFill="1" applyBorder="1" applyAlignment="1">
      <x:alignment horizontal="center" vertical="center"/>
    </x:xf>
    <x:xf numFmtId="0" fontId="17" fillId="8" borderId="7" xfId="0" applyNumberFormat="1" applyFont="1" applyFill="1" applyBorder="1" applyAlignment="1">
      <x:alignment horizontal="center" vertical="center"/>
    </x:xf>
    <x:xf numFmtId="0" fontId="17" fillId="8" borderId="8" xfId="0" applyNumberFormat="1" applyFont="1" applyFill="1" applyBorder="1" applyAlignment="1">
      <x:alignment horizontal="center" vertical="center"/>
    </x:xf>
    <x:xf numFmtId="0" fontId="17" fillId="8" borderId="9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0" fontId="19" fillId="8" borderId="7" xfId="0" applyNumberFormat="1" applyFont="1" applyFill="1" applyBorder="1" applyAlignment="1">
      <x:alignment horizontal="center" vertical="center"/>
    </x:xf>
    <x:xf numFmtId="0" fontId="19" fillId="8" borderId="8" xfId="0" applyNumberFormat="1" applyFont="1" applyFill="1" applyBorder="1" applyAlignment="1">
      <x:alignment horizontal="center" vertical="center"/>
    </x:xf>
    <x:xf numFmtId="0" fontId="19" fillId="8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0" fillId="9" borderId="0" xfId="0" applyNumberFormat="1" applyFont="1" applyFill="1" applyBorder="1"/>
    <x:xf numFmtId="0" fontId="20" fillId="9" borderId="0" xfId="0" applyNumberFormat="1" applyFont="1" applyFill="1" applyBorder="1" applyAlignment="1">
      <x:alignment horizontal="center"/>
    </x:xf>
    <x:xf numFmtId="0" fontId="20" fillId="9" borderId="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10" borderId="16" xfId="0" applyNumberFormat="1" applyFont="1" applyFill="1" applyBorder="1" applyAlignment="1">
      <x:alignment vertical="center"/>
    </x:xf>
    <x:xf numFmtId="0" fontId="0" fillId="10" borderId="17" xfId="0" applyNumberFormat="1" applyFont="1" applyFill="1" applyBorder="1" applyAlignment="1">
      <x:alignment vertical="center"/>
    </x:xf>
    <x:xf numFmtId="0" fontId="0" fillId="10" borderId="18" xfId="0" applyNumberFormat="1" applyFont="1" applyFill="1" applyBorder="1" applyAlignment="1">
      <x:alignment vertical="center"/>
    </x:xf>
    <x:xf numFmtId="0" fontId="21" fillId="10" borderId="16" xfId="0" applyNumberFormat="1" applyFont="1" applyFill="1" applyBorder="1" applyAlignment="1">
      <x:alignment vertical="center"/>
    </x:xf>
    <x:xf numFmtId="0" fontId="21" fillId="10" borderId="17" xfId="0" applyNumberFormat="1" applyFont="1" applyFill="1" applyBorder="1" applyAlignment="1">
      <x:alignment vertical="center"/>
    </x:xf>
    <x:xf numFmtId="0" fontId="21" fillId="10" borderId="18" xfId="0" applyNumberFormat="1" applyFont="1" applyFill="1" applyBorder="1" applyAlignment="1">
      <x:alignment vertical="center"/>
    </x:xf>
    <x:xf numFmtId="0" fontId="21" fillId="10" borderId="19" xfId="0" applyNumberFormat="1" applyFont="1" applyFill="1" applyBorder="1" applyAlignment="1">
      <x:alignment vertical="center"/>
    </x:xf>
    <x:xf numFmtId="0" fontId="21" fillId="10" borderId="2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21" fillId="10" borderId="20" xfId="0" applyNumberFormat="1" applyFont="1" applyFill="1" applyBorder="1" applyAlignment="1">
      <x:alignment horizontal="center" vertical="center"/>
    </x:xf>
    <x:xf numFmtId="202" fontId="0" fillId="0" borderId="11" xfId="0" applyNumberFormat="1" applyFont="1" applyFill="1" applyBorder="1" applyAlignment="1">
      <x:alignment horizontal="center" vertical="center"/>
    </x:xf>
    <x:xf numFmtId="202" fontId="0" fillId="0" borderId="12" xfId="0" applyNumberFormat="1" applyFont="1" applyFill="1" applyBorder="1" applyAlignment="1">
      <x:alignment horizontal="center" vertical="center"/>
    </x:xf>
    <x:xf numFmtId="202" fontId="0" fillId="0" borderId="14" xfId="0" applyNumberFormat="1" applyFont="1" applyFill="1" applyBorder="1" applyAlignment="1">
      <x:alignment horizontal="center" vertical="center"/>
    </x:xf>
    <x:xf numFmtId="202" fontId="0" fillId="0" borderId="15" xfId="0" applyNumberFormat="1" applyFont="1" applyFill="1" applyBorder="1" applyAlignment="1">
      <x:alignment horizontal="center" vertical="center"/>
    </x:xf>
    <x:xf numFmtId="202" fontId="21" fillId="10" borderId="20" xfId="0" applyNumberFormat="1" applyFont="1" applyFill="1" applyBorder="1" applyAlignment="1">
      <x:alignment horizontal="center" vertical="center"/>
    </x:xf>
    <x:xf numFmtId="0" fontId="22" fillId="3" borderId="0" xfId="0" applyNumberFormat="1" applyFont="1" applyFill="1" applyBorder="1"/>
    <x:xf numFmtId="0" fontId="22" fillId="3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23" fillId="6" borderId="0" xfId="0" applyNumberFormat="1" applyFont="1" applyFill="1" applyBorder="1"/>
    <x:xf numFmtId="0" fontId="23" fillId="6" borderId="0" xfId="0" applyNumberFormat="1" applyFont="1" applyFill="1" applyBorder="1" applyAlignment="1">
      <x:alignment wrapText="1"/>
    </x:xf>
    <x:xf numFmtId="0" fontId="2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e625917d4427e" /><Relationship Type="http://schemas.openxmlformats.org/officeDocument/2006/relationships/theme" Target="/xl/theme/theme1.xml" Id="R238be3bb11904ed8" /><Relationship Type="http://schemas.openxmlformats.org/officeDocument/2006/relationships/sharedStrings" Target="/xl/sharedStrings.xml" Id="R936e0665927143ac" /><Relationship Type="http://schemas.openxmlformats.org/officeDocument/2006/relationships/worksheet" Target="/xl/worksheets/sheet1.xml" Id="R5216e69122e04baa" /><Relationship Type="http://schemas.openxmlformats.org/officeDocument/2006/relationships/worksheet" Target="/xl/worksheets/sheet2.xml" Id="Rd4243f84637346c0" /><Relationship Type="http://schemas.openxmlformats.org/officeDocument/2006/relationships/worksheet" Target="/xl/worksheets/sheet3.xml" Id="R164944fbe454445b" /></Relationships>
</file>

<file path=xl/tables/table1.xml><?xml version="1.0" encoding="utf-8"?>
<x:table xmlns:x="http://schemas.openxmlformats.org/spreadsheetml/2006/main" id="1" name="RestaurantCandidates" displayName="RestaurantCandidates" ref="A1:U461" headerRowCount="1" totalsRowCount="0" totalsRowShown="0">
  <x:autoFilter ref="A1:U461"/>
  <x:tableColumns count="21">
    <x:tableColumn id="1" name="검토 상태&#10;review_status"/>
    <x:tableColumn id="2" name="구&#10;district"/>
    <x:tableColumn id="3" name="상호명&#10;name"/>
    <x:tableColumn id="4" name="업종&#10;category"/>
    <x:tableColumn id="5" name="추천 점수&#10;recommendation_score"/>
    <x:tableColumn id="6" name="추천 이유&#10;recommendation_reason"/>
    <x:tableColumn id="7" name="지번 주소&#10;address"/>
    <x:tableColumn id="8" name="도로명 주소&#10;road_address"/>
    <x:tableColumn id="9" name="블로그 확인&#10;blog_search_url"/>
    <x:tableColumn id="10" name="업체 링크&#10;naver_link"/>
    <x:tableColumn id="11" name="중복 가능성&#10;possible_duplicate"/>
    <x:tableColumn id="12" name="제외 사유&#10;reject_reason"/>
    <x:tableColumn id="13" name="최근 게시일&#10;latest_post_date"/>
    <x:tableColumn id="14" name="최근 글 수&#10;recent_blog_count"/>
    <x:tableColumn id="15" name="블로거 수&#10;distinct_blogger_count"/>
    <x:tableColumn id="16" name="검색 결과 수&#10;blog_result_count"/>
    <x:tableColumn id="17" name="지역 노출 수&#10;local_hit_count"/>
    <x:tableColumn id="18" name="리뷰순 노출 수&#10;comment_sort_hit_count"/>
    <x:tableColumn id="19" name="발견 검색어&#10;matched_queries"/>
    <x:tableColumn id="20" name="위도&#10;latitude"/>
    <x:tableColumn id="21" name="경도&#10;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6e9b5f93c1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25" t="str">
        <x:v>대전 식당 후보 검토 현황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4" ht="28" customHeight="1">
      <x:c r="A4" s="28" t="str">
        <x:v>추천 점수는 검토 순서입니다. 네이버 지도와 최근 블로그를 확인한 뒤 후보 검토 시트의 상태를 변경하세요.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6">
      <x:c r="A6" s="49" t="str">
        <x:v>미검토</x:v>
      </x:c>
      <x:c r="B6" s="50"/>
      <x:c r="D6" s="75" t="str">
        <x:v>승인</x:v>
      </x:c>
      <x:c r="E6" s="76"/>
      <x:c r="G6" s="101" t="str">
        <x:v>보류</x:v>
      </x:c>
      <x:c r="H6" s="102"/>
      <x:c r="J6" s="127" t="str">
        <x:v>제외</x:v>
      </x:c>
      <x:c r="K6" s="128"/>
      <x:c r="M6" s="153" t="str">
        <x:v>전체 후보</x:v>
      </x:c>
      <x:c r="N6" s="154"/>
    </x:row>
    <x:row r="7">
      <x:c r="A7" s="51" t="n">
        <x:f>COUNTIF('후보 검토'!$A$2:$A$461,"pending")</x:f>
        <x:v>460</x:v>
      </x:c>
      <x:c r="B7" s="52"/>
      <x:c r="D7" s="77" t="n">
        <x:f>COUNTIF('후보 검토'!$A$2:$A$461,"approved")</x:f>
        <x:v>0</x:v>
      </x:c>
      <x:c r="E7" s="78"/>
      <x:c r="G7" s="103" t="n">
        <x:f>COUNTIF('후보 검토'!$A$2:$A$461,"hold")</x:f>
        <x:v>0</x:v>
      </x:c>
      <x:c r="H7" s="104"/>
      <x:c r="J7" s="129" t="n">
        <x:f>COUNTIF('후보 검토'!$A$2:$A$461,"rejected")</x:f>
        <x:v>0</x:v>
      </x:c>
      <x:c r="K7" s="130"/>
      <x:c r="M7" s="155" t="n">
        <x:f>COUNTA('후보 검토'!$C$2:$C$461)</x:f>
        <x:v>460</x:v>
      </x:c>
      <x:c r="N7" s="156"/>
    </x:row>
    <x:row r="8">
      <x:c r="A8" s="53"/>
      <x:c r="B8" s="54"/>
      <x:c r="D8" s="79"/>
      <x:c r="E8" s="80"/>
      <x:c r="G8" s="105"/>
      <x:c r="H8" s="106"/>
      <x:c r="J8" s="131"/>
      <x:c r="K8" s="132"/>
      <x:c r="M8" s="157"/>
      <x:c r="N8" s="158"/>
    </x:row>
    <x:row r="11" ht="24" customHeight="1">
      <x:c r="A11" s="162" t="str">
        <x:v>구</x:v>
      </x:c>
      <x:c r="B11" s="162" t="str">
        <x:v>전체</x:v>
      </x:c>
      <x:c r="C11" s="162" t="str">
        <x:v>미검토</x:v>
      </x:c>
      <x:c r="D11" s="162" t="str">
        <x:v>승인</x:v>
      </x:c>
      <x:c r="E11" s="162" t="str">
        <x:v>보류</x:v>
      </x:c>
      <x:c r="F11" s="162" t="str">
        <x:v>제외</x:v>
      </x:c>
    </x:row>
    <x:row r="12" ht="24" customHeight="1">
      <x:c r="A12" s="172" t="str">
        <x:v>대덕구</x:v>
      </x:c>
      <x:c r="B12" s="194" t="n">
        <x:f>COUNTIF('후보 검토'!$B$2:$B$461,A12)</x:f>
        <x:v>100</x:v>
      </x:c>
      <x:c r="C12" s="194" t="n">
        <x:f>COUNTIFS('후보 검토'!$B$2:$B$461,A12,'후보 검토'!$A$2:$A$461,"pending")</x:f>
        <x:v>100</x:v>
      </x:c>
      <x:c r="D12" s="194" t="n">
        <x:f>COUNTIFS('후보 검토'!$B$2:$B$461,A12,'후보 검토'!$A$2:$A$461,"approved")</x:f>
        <x:v>0</x:v>
      </x:c>
      <x:c r="E12" s="194" t="n">
        <x:f>COUNTIFS('후보 검토'!$B$2:$B$461,A12,'후보 검토'!$A$2:$A$461,"hold")</x:f>
        <x:v>0</x:v>
      </x:c>
      <x:c r="F12" s="195" t="n">
        <x:f>COUNTIFS('후보 검토'!$B$2:$B$461,A12,'후보 검토'!$A$2:$A$461,"rejected")</x:f>
        <x:v>0</x:v>
      </x:c>
    </x:row>
    <x:row r="13" ht="24" customHeight="1">
      <x:c r="A13" s="175" t="str">
        <x:v>동구</x:v>
      </x:c>
      <x:c r="B13" s="196" t="n">
        <x:f>COUNTIF('후보 검토'!$B$2:$B$461,A13)</x:f>
        <x:v>100</x:v>
      </x:c>
      <x:c r="C13" s="196" t="n">
        <x:f>COUNTIFS('후보 검토'!$B$2:$B$461,A13,'후보 검토'!$A$2:$A$461,"pending")</x:f>
        <x:v>100</x:v>
      </x:c>
      <x:c r="D13" s="196" t="n">
        <x:f>COUNTIFS('후보 검토'!$B$2:$B$461,A13,'후보 검토'!$A$2:$A$461,"approved")</x:f>
        <x:v>0</x:v>
      </x:c>
      <x:c r="E13" s="196" t="n">
        <x:f>COUNTIFS('후보 검토'!$B$2:$B$461,A13,'후보 검토'!$A$2:$A$461,"hold")</x:f>
        <x:v>0</x:v>
      </x:c>
      <x:c r="F13" s="197" t="n">
        <x:f>COUNTIFS('후보 검토'!$B$2:$B$461,A13,'후보 검토'!$A$2:$A$461,"rejected")</x:f>
        <x:v>0</x:v>
      </x:c>
    </x:row>
    <x:row r="14" ht="24" customHeight="1">
      <x:c r="A14" s="175" t="str">
        <x:v>서구</x:v>
      </x:c>
      <x:c r="B14" s="196" t="n">
        <x:f>COUNTIF('후보 검토'!$B$2:$B$461,A14)</x:f>
        <x:v>100</x:v>
      </x:c>
      <x:c r="C14" s="196" t="n">
        <x:f>COUNTIFS('후보 검토'!$B$2:$B$461,A14,'후보 검토'!$A$2:$A$461,"pending")</x:f>
        <x:v>100</x:v>
      </x:c>
      <x:c r="D14" s="196" t="n">
        <x:f>COUNTIFS('후보 검토'!$B$2:$B$461,A14,'후보 검토'!$A$2:$A$461,"approved")</x:f>
        <x:v>0</x:v>
      </x:c>
      <x:c r="E14" s="196" t="n">
        <x:f>COUNTIFS('후보 검토'!$B$2:$B$461,A14,'후보 검토'!$A$2:$A$461,"hold")</x:f>
        <x:v>0</x:v>
      </x:c>
      <x:c r="F14" s="197" t="n">
        <x:f>COUNTIFS('후보 검토'!$B$2:$B$461,A14,'후보 검토'!$A$2:$A$461,"rejected")</x:f>
        <x:v>0</x:v>
      </x:c>
    </x:row>
    <x:row r="15" ht="24" customHeight="1">
      <x:c r="A15" s="175" t="str">
        <x:v>유성구</x:v>
      </x:c>
      <x:c r="B15" s="196" t="n">
        <x:f>COUNTIF('후보 검토'!$B$2:$B$461,A15)</x:f>
        <x:v>100</x:v>
      </x:c>
      <x:c r="C15" s="196" t="n">
        <x:f>COUNTIFS('후보 검토'!$B$2:$B$461,A15,'후보 검토'!$A$2:$A$461,"pending")</x:f>
        <x:v>100</x:v>
      </x:c>
      <x:c r="D15" s="196" t="n">
        <x:f>COUNTIFS('후보 검토'!$B$2:$B$461,A15,'후보 검토'!$A$2:$A$461,"approved")</x:f>
        <x:v>0</x:v>
      </x:c>
      <x:c r="E15" s="196" t="n">
        <x:f>COUNTIFS('후보 검토'!$B$2:$B$461,A15,'후보 검토'!$A$2:$A$461,"hold")</x:f>
        <x:v>0</x:v>
      </x:c>
      <x:c r="F15" s="197" t="n">
        <x:f>COUNTIFS('후보 검토'!$B$2:$B$461,A15,'후보 검토'!$A$2:$A$461,"rejected")</x:f>
        <x:v>0</x:v>
      </x:c>
    </x:row>
    <x:row r="16" ht="24" customHeight="1">
      <x:c r="A16" s="175" t="str">
        <x:v>중구</x:v>
      </x:c>
      <x:c r="B16" s="196" t="n">
        <x:f>COUNTIF('후보 검토'!$B$2:$B$461,A16)</x:f>
        <x:v>60</x:v>
      </x:c>
      <x:c r="C16" s="196" t="n">
        <x:f>COUNTIFS('후보 검토'!$B$2:$B$461,A16,'후보 검토'!$A$2:$A$461,"pending")</x:f>
        <x:v>60</x:v>
      </x:c>
      <x:c r="D16" s="196" t="n">
        <x:f>COUNTIFS('후보 검토'!$B$2:$B$461,A16,'후보 검토'!$A$2:$A$461,"approved")</x:f>
        <x:v>0</x:v>
      </x:c>
      <x:c r="E16" s="196" t="n">
        <x:f>COUNTIFS('후보 검토'!$B$2:$B$461,A16,'후보 검토'!$A$2:$A$461,"hold")</x:f>
        <x:v>0</x:v>
      </x:c>
      <x:c r="F16" s="197" t="n">
        <x:f>COUNTIFS('후보 검토'!$B$2:$B$461,A16,'후보 검토'!$A$2:$A$461,"rejected")</x:f>
        <x:v>0</x:v>
      </x:c>
    </x:row>
    <x:row r="17" ht="24" customHeight="1">
      <x:c r="A17" s="187" t="str">
        <x:v>합계</x:v>
      </x:c>
      <x:c r="B17" s="198" t="n">
        <x:f>SUM(B12:B16)</x:f>
        <x:v>460</x:v>
      </x:c>
      <x:c r="C17" s="198" t="n">
        <x:f>SUM(C12:C16)</x:f>
        <x:v>460</x:v>
      </x:c>
      <x:c r="D17" s="198" t="n">
        <x:f>SUM(D12:D16)</x:f>
        <x:v>0</x:v>
      </x:c>
      <x:c r="E17" s="198" t="n">
        <x:f>SUM(E12:E16)</x:f>
        <x:v>0</x:v>
      </x:c>
      <x:c r="F17" s="198" t="n">
        <x:f>SUM(F12:F16)</x:f>
        <x:v>0</x:v>
      </x:c>
    </x:row>
  </x:sheetData>
  <x:mergeCells>
    <x:mergeCell ref="A1:N2"/>
    <x:mergeCell ref="A4:N4"/>
    <x:mergeCell ref="A6:B6"/>
    <x:mergeCell ref="A7:B8"/>
    <x:mergeCell ref="D6:E6"/>
    <x:mergeCell ref="D7:E8"/>
    <x:mergeCell ref="G6:H6"/>
    <x:mergeCell ref="G7:H8"/>
    <x:mergeCell ref="J6:K6"/>
    <x:mergeCell ref="J7:K8"/>
    <x:mergeCell ref="M6:N6"/>
    <x:mergeCell ref="M7:N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24" hidden="0" customWidth="1"/>
    <x:col min="4" max="4" width="22" hidden="0" customWidth="1"/>
    <x:col min="5" max="5" width="17" hidden="0" customWidth="1"/>
    <x:col min="6" max="6" width="30" hidden="0" customWidth="1"/>
    <x:col min="7" max="7" width="31" hidden="0" customWidth="1"/>
    <x:col min="8" max="8" width="31" hidden="0" customWidth="1"/>
    <x:col min="9" max="9" width="14" hidden="0" customWidth="1"/>
    <x:col min="10" max="10" width="14" hidden="0" customWidth="1"/>
    <x:col min="11" max="11" width="16" hidden="0" customWidth="1"/>
    <x:col min="12" max="12" width="22" hidden="0" customWidth="1"/>
    <x:col min="13" max="13" width="15" hidden="0" customWidth="1"/>
    <x:col min="14" max="14" width="13" hidden="0" customWidth="1"/>
    <x:col min="15" max="15" width="15" hidden="0" customWidth="1"/>
    <x:col min="16" max="16" width="14" hidden="0" customWidth="1"/>
    <x:col min="17" max="17" width="11" hidden="0" customWidth="1"/>
    <x:col min="18" max="18" width="12" hidden="0" customWidth="1"/>
    <x:col min="19" max="19" width="34" hidden="0" customWidth="1"/>
    <x:col min="20" max="20" width="13" hidden="0" customWidth="1"/>
    <x:col min="21" max="21" width="13" hidden="0" customWidth="1"/>
  </x:cols>
  <x:sheetData>
    <x:row r="1" ht="40" customHeight="1">
      <x:c r="A1" s="12" t="str">
        <x:v>검토 상태
review_status</x:v>
      </x:c>
      <x:c r="B1" s="13" t="str">
        <x:v>구
district</x:v>
      </x:c>
      <x:c r="C1" s="13" t="str">
        <x:v>상호명
name</x:v>
      </x:c>
      <x:c r="D1" s="13" t="str">
        <x:v>업종
category</x:v>
      </x:c>
      <x:c r="E1" s="13" t="str">
        <x:v>추천 점수
recommendation_score</x:v>
      </x:c>
      <x:c r="F1" s="13" t="str">
        <x:v>추천 이유
recommendation_reason</x:v>
      </x:c>
      <x:c r="G1" s="13" t="str">
        <x:v>지번 주소
address</x:v>
      </x:c>
      <x:c r="H1" s="13" t="str">
        <x:v>도로명 주소
road_address</x:v>
      </x:c>
      <x:c r="I1" s="13" t="str">
        <x:v>블로그 확인
blog_search_url</x:v>
      </x:c>
      <x:c r="J1" s="13" t="str">
        <x:v>업체 링크
naver_link</x:v>
      </x:c>
      <x:c r="K1" s="13" t="str">
        <x:v>중복 가능성
possible_duplicate</x:v>
      </x:c>
      <x:c r="L1" s="13" t="str">
        <x:v>제외 사유
reject_reason</x:v>
      </x:c>
      <x:c r="M1" s="13" t="str">
        <x:v>최근 게시일
latest_post_date</x:v>
      </x:c>
      <x:c r="N1" s="13" t="str">
        <x:v>최근 글 수
recent_blog_count</x:v>
      </x:c>
      <x:c r="O1" s="13" t="str">
        <x:v>블로거 수
distinct_blogger_count</x:v>
      </x:c>
      <x:c r="P1" s="13" t="str">
        <x:v>검색 결과 수
blog_result_count</x:v>
      </x:c>
      <x:c r="Q1" s="13" t="str">
        <x:v>지역 노출 수
local_hit_count</x:v>
      </x:c>
      <x:c r="R1" s="13" t="str">
        <x:v>리뷰순 노출 수
comment_sort_hit_count</x:v>
      </x:c>
      <x:c r="S1" s="13" t="str">
        <x:v>발견 검색어
matched_queries</x:v>
      </x:c>
      <x:c r="T1" s="13" t="str">
        <x:v>위도
latitude</x:v>
      </x:c>
      <x:c r="U1" s="14" t="str">
        <x:v>경도
longitude</x:v>
      </x:c>
    </x:row>
    <x:row r="2" ht="32" customHeight="1">
      <x:c r="A2" s="18" t="str">
        <x:v>pending</x:v>
      </x:c>
      <x:c r="B2" s="18" t="str">
        <x:v>대덕구</x:v>
      </x:c>
      <x:c r="C2" s="17" t="str">
        <x:v>맛집부추해물칼국수</x:v>
      </x:c>
      <x:c r="D2" s="17" t="str">
        <x:v>한식&gt;칼국수,만두</x:v>
      </x:c>
      <x:c r="E2" s="19" t="n">
        <x:v>87</x:v>
      </x:c>
      <x:c r="F2" s="17" t="str">
        <x:v>지역성: 칼국수; 최근 12개월 블로그 100건</x:v>
      </x:c>
      <x:c r="G2" s="17" t="str">
        <x:v>대전광역시 대덕구 신탄진동 139-24</x:v>
      </x:c>
      <x:c r="H2" s="17" t="str">
        <x:v>대전광역시 대덕구 신탄진로804번길 31</x:v>
      </x:c>
      <x:c r="I2" s="18" t="e">
        <x:f>HYPERLINK("https://search.naver.com/search.naver?where=blog&amp;query=%EB%A7%9B%EC%A7%91%EB%B6%80%EC%B6%94%ED%95%B4%EB%AC%BC%EC%B9%BC%EA%B5%AD%EC%88%98+%EB%8C%80%EB%8D%95%EA%B5%AC","블로그 보기")</x:f>
        <x:v>HYPERLINK is not implemented. linkLocation=https://search.naver.com/search.naver?where=blog&amp;query=%EB%A7%9B%EC%A7%91%EB%B6%80%EC%B6%94%ED%95%B4%EB%AC%BC%EC%B9%BC%EA%B5%AD%EC%88%98+%EB%8C%80%EB%8D%95%EA%B5%AC, friendlyName=블로그 보기</x:v>
      </x:c>
      <x:c r="J2" s="18" t="str"/>
      <x:c r="K2" s="18" t="str"/>
      <x:c r="L2" s="17" t="str"/>
      <x:c r="M2" s="20" t="n">
        <x:v>46223</x:v>
      </x:c>
      <x:c r="N2" s="21" t="n">
        <x:v>100</x:v>
      </x:c>
      <x:c r="O2" s="21" t="n">
        <x:v>99</x:v>
      </x:c>
      <x:c r="P2" s="21" t="n">
        <x:v>95913</x:v>
      </x:c>
      <x:c r="Q2" s="21" t="n">
        <x:v>9</x:v>
      </x:c>
      <x:c r="R2" s="21" t="n">
        <x:v>4</x:v>
      </x:c>
      <x:c r="S2" s="17" t="str">
        <x:v>대덕구 칼국수 | 대덕구 해산물 | 신탄진 맛집 | 신탄진 칼국수 | 신탄진 한식 | 신탄진 해산물</x:v>
      </x:c>
      <x:c r="T2" s="22" t="n">
        <x:v>36.4495571</x:v>
      </x:c>
      <x:c r="U2" s="22" t="n">
        <x:v>127.4315926</x:v>
      </x:c>
    </x:row>
    <x:row r="3" ht="32" customHeight="1">
      <x:c r="A3" s="18" t="str">
        <x:v>pending</x:v>
      </x:c>
      <x:c r="B3" s="18" t="str">
        <x:v>대덕구</x:v>
      </x:c>
      <x:c r="C3" s="17" t="str">
        <x:v>교동면옥 대전중리점</x:v>
      </x:c>
      <x:c r="D3" s="17" t="str">
        <x:v>한식&gt;냉면</x:v>
      </x:c>
      <x:c r="E3" s="19" t="n">
        <x:v>84</x:v>
      </x:c>
      <x:c r="F3" s="17" t="str">
        <x:v>지역성: 대전; 최근 12개월 블로그 100건</x:v>
      </x:c>
      <x:c r="G3" s="17" t="str">
        <x:v>대전광역시 대덕구 중리동 230-1 1층 교동면옥 대전중리점</x:v>
      </x:c>
      <x:c r="H3" s="17" t="str">
        <x:v>대전광역시 대덕구 한밭대로 1100 1층 교동면옥 대전중리점</x:v>
      </x:c>
      <x:c r="I3" s="18" t="e">
        <x:f>HYPERLINK("https://search.naver.com/search.naver?where=blog&amp;query=%EA%B5%90%EB%8F%99%EB%A9%B4%EC%98%A5+%EB%8C%80%EC%A0%84%EC%A4%91%EB%A6%AC%EC%A0%90+%EA%B5%90%EB%8F%99","블로그 보기")</x:f>
        <x:v>HYPERLINK is not implemented. linkLocation=https://search.naver.com/search.naver?where=blog&amp;query=%EA%B5%90%EB%8F%99%EB%A9%B4%EC%98%A5+%EB%8C%80%EC%A0%84%EC%A4%91%EB%A6%AC%EC%A0%90+%EA%B5%90%EB%8F%99, friendlyName=블로그 보기</x:v>
      </x:c>
      <x:c r="J3" s="18" t="e">
        <x:f>HYPERLINK("https://www.instagram.com/kyodong_myeonok/","업체 보기")</x:f>
        <x:v>HYPERLINK is not implemented. linkLocation=https://www.instagram.com/kyodong_myeonok/, friendlyName=업체 보기</x:v>
      </x:c>
      <x:c r="K3" s="18" t="str"/>
      <x:c r="L3" s="17" t="str"/>
      <x:c r="M3" s="20" t="n">
        <x:v>46223</x:v>
      </x:c>
      <x:c r="N3" s="21" t="n">
        <x:v>100</x:v>
      </x:c>
      <x:c r="O3" s="21" t="n">
        <x:v>71</x:v>
      </x:c>
      <x:c r="P3" s="21" t="n">
        <x:v>2705</x:v>
      </x:c>
      <x:c r="Q3" s="21" t="n">
        <x:v>7</x:v>
      </x:c>
      <x:c r="R3" s="21" t="n">
        <x:v>3</x:v>
      </x:c>
      <x:c r="S3" s="17" t="str">
        <x:v>대덕구 국밥 | 대덕구 냉면 | 대덕구 맛집 | 대덕구 한식</x:v>
      </x:c>
      <x:c r="T3" s="22" t="n">
        <x:v>36.3581939</x:v>
      </x:c>
      <x:c r="U3" s="22" t="n">
        <x:v>127.420798</x:v>
      </x:c>
    </x:row>
    <x:row r="4" ht="32" customHeight="1">
      <x:c r="A4" s="18" t="str">
        <x:v>pending</x:v>
      </x:c>
      <x:c r="B4" s="18" t="str">
        <x:v>대덕구</x:v>
      </x:c>
      <x:c r="C4" s="17" t="str">
        <x:v>우림칼국수 신탄진점</x:v>
      </x:c>
      <x:c r="D4" s="17" t="str">
        <x:v>음식점&gt;한식&gt;칼국수,만두</x:v>
      </x:c>
      <x:c r="E4" s="19" t="n">
        <x:v>84</x:v>
      </x:c>
      <x:c r="F4" s="17" t="str">
        <x:v>지역성: 칼국수; 최근 12개월 블로그 100건</x:v>
      </x:c>
      <x:c r="G4" s="17" t="str">
        <x:v>대전광역시 대덕구 신탄진동 155-15 우림칼국수 신탄진점</x:v>
      </x:c>
      <x:c r="H4" s="17" t="str">
        <x:v>대전광역시 대덕구 신탄진동로 16-2 우림칼국수 신탄진점</x:v>
      </x:c>
      <x:c r="I4" s="18" t="e">
        <x:f>HYPERLINK("https://search.naver.com/search.naver?where=blog&amp;query=%EC%9A%B0%EB%A6%BC%EC%B9%BC%EA%B5%AD%EC%88%98+%EC%8B%A0%ED%83%84%EC%A7%84%EC%A0%90+%EC%8B%A0%ED%83%84%EC%A7%84%EB%8F%99","블로그 보기")</x:f>
        <x:v>HYPERLINK is not implemented. linkLocation=https://search.naver.com/search.naver?where=blog&amp;query=%EC%9A%B0%EB%A6%BC%EC%B9%BC%EA%B5%AD%EC%88%98+%EC%8B%A0%ED%83%84%EC%A7%84%EC%A0%90+%EC%8B%A0%ED%83%84%EC%A7%84%EB%8F%99, friendlyName=블로그 보기</x:v>
      </x:c>
      <x:c r="J4" s="18" t="str"/>
      <x:c r="K4" s="18" t="str"/>
      <x:c r="L4" s="17" t="str"/>
      <x:c r="M4" s="20" t="n">
        <x:v>46221</x:v>
      </x:c>
      <x:c r="N4" s="21" t="n">
        <x:v>100</x:v>
      </x:c>
      <x:c r="O4" s="21" t="n">
        <x:v>100</x:v>
      </x:c>
      <x:c r="P4" s="21" t="n">
        <x:v>264</x:v>
      </x:c>
      <x:c r="Q4" s="21" t="n">
        <x:v>5</x:v>
      </x:c>
      <x:c r="R4" s="21" t="n">
        <x:v>4</x:v>
      </x:c>
      <x:c r="S4" s="17" t="str">
        <x:v>대덕구 냉면 | 대덕구 칼국수 | 신탄진 냉면 | 신탄진 칼국수</x:v>
      </x:c>
      <x:c r="T4" s="22" t="n">
        <x:v>36.4474104</x:v>
      </x:c>
      <x:c r="U4" s="22" t="n">
        <x:v>127.4313714</x:v>
      </x:c>
    </x:row>
    <x:row r="5" ht="32" customHeight="1">
      <x:c r="A5" s="18" t="str">
        <x:v>pending</x:v>
      </x:c>
      <x:c r="B5" s="18" t="str">
        <x:v>대덕구</x:v>
      </x:c>
      <x:c r="C5" s="17" t="str">
        <x:v>오문창순대국밥</x:v>
      </x:c>
      <x:c r="D5" s="17" t="str">
        <x:v>한식&gt;순대,순댓국</x:v>
      </x:c>
      <x:c r="E5" s="19" t="n">
        <x:v>81</x:v>
      </x:c>
      <x:c r="F5" s="17" t="str">
        <x:v>최근 12개월 블로그 100건</x:v>
      </x:c>
      <x:c r="G5" s="17" t="str">
        <x:v>대전광역시 대덕구 중리동 203-2</x:v>
      </x:c>
      <x:c r="H5" s="17" t="str">
        <x:v>대전광역시 대덕구 한밭대로 1153</x:v>
      </x:c>
      <x:c r="I5" s="18" t="e">
        <x:f>HYPERLINK("https://search.naver.com/search.naver?where=blog&amp;query=%EC%98%A4%EB%AC%B8%EC%B0%BD%EC%88%9C%EB%8C%80%EA%B5%AD%EB%B0%A5+%EB%8C%80%EB%8D%95%EA%B5%AC","블로그 보기")</x:f>
        <x:v>HYPERLINK is not implemented. linkLocation=https://search.naver.com/search.naver?where=blog&amp;query=%EC%98%A4%EB%AC%B8%EC%B0%BD%EC%88%9C%EB%8C%80%EA%B5%AD%EB%B0%A5+%EB%8C%80%EB%8D%95%EA%B5%AC, friendlyName=블로그 보기</x:v>
      </x:c>
      <x:c r="J5" s="18" t="str"/>
      <x:c r="K5" s="18" t="str"/>
      <x:c r="L5" s="17" t="str"/>
      <x:c r="M5" s="20" t="n">
        <x:v>46223</x:v>
      </x:c>
      <x:c r="N5" s="21" t="n">
        <x:v>100</x:v>
      </x:c>
      <x:c r="O5" s="21" t="n">
        <x:v>97</x:v>
      </x:c>
      <x:c r="P5" s="21" t="n">
        <x:v>2146</x:v>
      </x:c>
      <x:c r="Q5" s="21" t="n">
        <x:v>7</x:v>
      </x:c>
      <x:c r="R5" s="21" t="n">
        <x:v>4</x:v>
      </x:c>
      <x:c r="S5" s="17" t="str">
        <x:v>대덕구 고기 | 대덕구 국밥 | 대덕구 맛집 | 대덕구 한식</x:v>
      </x:c>
      <x:c r="T5" s="22" t="n">
        <x:v>36.359233</x:v>
      </x:c>
      <x:c r="U5" s="22" t="n">
        <x:v>127.4265662</x:v>
      </x:c>
    </x:row>
    <x:row r="6" ht="32" customHeight="1">
      <x:c r="A6" s="18" t="str">
        <x:v>pending</x:v>
      </x:c>
      <x:c r="B6" s="18" t="str">
        <x:v>대덕구</x:v>
      </x:c>
      <x:c r="C6" s="17" t="str">
        <x:v>공주쌍신집칼국수 대청댐점</x:v>
      </x:c>
      <x:c r="D6" s="17" t="str">
        <x:v>한식&gt;칼국수,만두</x:v>
      </x:c>
      <x:c r="E6" s="19" t="n">
        <x:v>79</x:v>
      </x:c>
      <x:c r="F6" s="17" t="str">
        <x:v>지역성: 칼국수; 최근 12개월 블로그 100건</x:v>
      </x:c>
      <x:c r="G6" s="17" t="str">
        <x:v>대전광역시 대덕구 미호동 90-2 1층</x:v>
      </x:c>
      <x:c r="H6" s="17" t="str">
        <x:v>대전광역시 대덕구 대청로 572 1층</x:v>
      </x:c>
      <x:c r="I6" s="18" t="e">
        <x:f>HYPERLINK("https://search.naver.com/search.naver?where=blog&amp;query=%EA%B3%B5%EC%A3%BC%EC%8C%8D%EC%8B%A0%EC%A7%91%EC%B9%BC%EA%B5%AD%EC%88%98+%EB%8C%80%EC%B2%AD%EB%8C%90%EC%A0%90+%EB%8C%80%EB%8D%95%EA%B5%AC","블로그 보기")</x:f>
        <x:v>HYPERLINK is not implemented. linkLocation=https://search.naver.com/search.naver?where=blog&amp;query=%EA%B3%B5%EC%A3%BC%EC%8C%8D%EC%8B%A0%EC%A7%91%EC%B9%BC%EA%B5%AD%EC%88%98+%EB%8C%80%EC%B2%AD%EB%8C%90%EC%A0%90+%EB%8C%80%EB%8D%95%EA%B5%AC, friendlyName=블로그 보기</x:v>
      </x:c>
      <x:c r="J6" s="18" t="e">
        <x:f>HYPERLINK("https://app.catchtable.co.kr/ct/shop/gongjussangsin","업체 보기")</x:f>
        <x:v>HYPERLINK is not implemented. linkLocation=https://app.catchtable.co.kr/ct/shop/gongjussangsin, friendlyName=업체 보기</x:v>
      </x:c>
      <x:c r="K6" s="18" t="str"/>
      <x:c r="L6" s="17" t="str"/>
      <x:c r="M6" s="20" t="n">
        <x:v>46223</x:v>
      </x:c>
      <x:c r="N6" s="21" t="n">
        <x:v>100</x:v>
      </x:c>
      <x:c r="O6" s="21" t="n">
        <x:v>92</x:v>
      </x:c>
      <x:c r="P6" s="21" t="n">
        <x:v>1031</x:v>
      </x:c>
      <x:c r="Q6" s="21" t="n">
        <x:v>4</x:v>
      </x:c>
      <x:c r="R6" s="21" t="n">
        <x:v>3</x:v>
      </x:c>
      <x:c r="S6" s="17" t="str">
        <x:v>대덕구 맛집 | 대덕구 칼국수 | 대덕구 한식</x:v>
      </x:c>
      <x:c r="T6" s="22" t="n">
        <x:v>36.4700081</x:v>
      </x:c>
      <x:c r="U6" s="22" t="n">
        <x:v>127.4722662</x:v>
      </x:c>
    </x:row>
    <x:row r="7" ht="32" customHeight="1">
      <x:c r="A7" s="18" t="str">
        <x:v>pending</x:v>
      </x:c>
      <x:c r="B7" s="18" t="str">
        <x:v>대덕구</x:v>
      </x:c>
      <x:c r="C7" s="17" t="str">
        <x:v>형제횟집</x:v>
      </x:c>
      <x:c r="D7" s="17" t="str">
        <x:v>한식&gt;생선회</x:v>
      </x:c>
      <x:c r="E7" s="19" t="n">
        <x:v>72</x:v>
      </x:c>
      <x:c r="F7" s="17" t="str">
        <x:v>최근 12개월 블로그 76건</x:v>
      </x:c>
      <x:c r="G7" s="17" t="str">
        <x:v>대전광역시 대덕구 중리동 372-3 형제횟집</x:v>
      </x:c>
      <x:c r="H7" s="17" t="str">
        <x:v>대전광역시 대덕구 중리로76번길 22 형제횟집</x:v>
      </x:c>
      <x:c r="I7" s="18" t="e">
        <x:f>HYPERLINK("https://search.naver.com/search.naver?where=blog&amp;query=%ED%98%95%EC%A0%9C%ED%9A%9F%EC%A7%91+%EB%8C%80%EB%8D%95%EA%B5%AC","블로그 보기")</x:f>
        <x:v>HYPERLINK is not implemented. linkLocation=https://search.naver.com/search.naver?where=blog&amp;query=%ED%98%95%EC%A0%9C%ED%9A%9F%EC%A7%91+%EB%8C%80%EB%8D%95%EA%B5%AC, friendlyName=블로그 보기</x:v>
      </x:c>
      <x:c r="J7" s="18" t="str"/>
      <x:c r="K7" s="18" t="str"/>
      <x:c r="L7" s="17" t="str"/>
      <x:c r="M7" s="20" t="n">
        <x:v>46211</x:v>
      </x:c>
      <x:c r="N7" s="21" t="n">
        <x:v>76</x:v>
      </x:c>
      <x:c r="O7" s="21" t="n">
        <x:v>93</x:v>
      </x:c>
      <x:c r="P7" s="21" t="n">
        <x:v>317</x:v>
      </x:c>
      <x:c r="Q7" s="21" t="n">
        <x:v>4</x:v>
      </x:c>
      <x:c r="R7" s="21" t="n">
        <x:v>3</x:v>
      </x:c>
      <x:c r="S7" s="17" t="str">
        <x:v>대덕구 맛집 | 대덕구 한식 | 대덕구 해산물</x:v>
      </x:c>
      <x:c r="T7" s="22" t="n">
        <x:v>36.3657379</x:v>
      </x:c>
      <x:c r="U7" s="22" t="n">
        <x:v>127.4263927</x:v>
      </x:c>
    </x:row>
    <x:row r="8" ht="32" customHeight="1">
      <x:c r="A8" s="18" t="str">
        <x:v>pending</x:v>
      </x:c>
      <x:c r="B8" s="18" t="str">
        <x:v>대덕구</x:v>
      </x:c>
      <x:c r="C8" s="17" t="str">
        <x:v>나래원</x:v>
      </x:c>
      <x:c r="D8" s="17" t="str">
        <x:v>음식점&gt;한식</x:v>
      </x:c>
      <x:c r="E8" s="19" t="n">
        <x:v>69</x:v>
      </x:c>
      <x:c r="F8" s="17" t="str">
        <x:v>최근 12개월 블로그 36건</x:v>
      </x:c>
      <x:c r="G8" s="17" t="str">
        <x:v>대전광역시 대덕구 비래동 139-10</x:v>
      </x:c>
      <x:c r="H8" s="17" t="str">
        <x:v>대전광역시 대덕구 비래동로16번길 13</x:v>
      </x:c>
      <x:c r="I8" s="18" t="e">
        <x:f>HYPERLINK("https://search.naver.com/search.naver?where=blog&amp;query=%EB%82%98%EB%9E%98%EC%9B%90+%EB%B9%84%EB%9E%98%EB%8F%99","블로그 보기")</x:f>
        <x:v>HYPERLINK is not implemented. linkLocation=https://search.naver.com/search.naver?where=blog&amp;query=%EB%82%98%EB%9E%98%EC%9B%90+%EB%B9%84%EB%9E%98%EB%8F%99, friendlyName=블로그 보기</x:v>
      </x:c>
      <x:c r="J8" s="18" t="str"/>
      <x:c r="K8" s="18" t="str"/>
      <x:c r="L8" s="17" t="str"/>
      <x:c r="M8" s="20" t="n">
        <x:v>46220</x:v>
      </x:c>
      <x:c r="N8" s="21" t="n">
        <x:v>36</x:v>
      </x:c>
      <x:c r="O8" s="21" t="n">
        <x:v>81</x:v>
      </x:c>
      <x:c r="P8" s="21" t="n">
        <x:v>363</x:v>
      </x:c>
      <x:c r="Q8" s="21" t="n">
        <x:v>4</x:v>
      </x:c>
      <x:c r="R8" s="21" t="n">
        <x:v>2</x:v>
      </x:c>
      <x:c r="S8" s="17" t="str">
        <x:v>대덕구 삼계탕 | 비래동 한식</x:v>
      </x:c>
      <x:c r="T8" s="22" t="n">
        <x:v>36.3551858</x:v>
      </x:c>
      <x:c r="U8" s="22" t="n">
        <x:v>127.4506385</x:v>
      </x:c>
    </x:row>
    <x:row r="9" ht="32" customHeight="1">
      <x:c r="A9" s="18" t="str">
        <x:v>pending</x:v>
      </x:c>
      <x:c r="B9" s="18" t="str">
        <x:v>대덕구</x:v>
      </x:c>
      <x:c r="C9" s="17" t="str">
        <x:v>백마강참숯민물장어</x:v>
      </x:c>
      <x:c r="D9" s="17" t="str">
        <x:v>한식&gt;장어,먹장어요리</x:v>
      </x:c>
      <x:c r="E9" s="19" t="n">
        <x:v>68</x:v>
      </x:c>
      <x:c r="F9" s="17" t="str">
        <x:v>최근 12개월 블로그 31건</x:v>
      </x:c>
      <x:c r="G9" s="17" t="str">
        <x:v>대전광역시 대덕구 비래동 561-1</x:v>
      </x:c>
      <x:c r="H9" s="17" t="str">
        <x:v>대전광역시 대덕구 동서대로 1752</x:v>
      </x:c>
      <x:c r="I9" s="18" t="e">
        <x:f>HYPERLINK("https://search.naver.com/search.naver?where=blog&amp;query=%EB%B0%B1%EB%A7%88%EA%B0%95%EC%B0%B8%EC%88%AF%EB%AF%BC%EB%AC%BC%EC%9E%A5%EC%96%B4+%EB%8C%80%EB%8D%95%EA%B5%AC","블로그 보기")</x:f>
        <x:v>HYPERLINK is not implemented. linkLocation=https://search.naver.com/search.naver?where=blog&amp;query=%EB%B0%B1%EB%A7%88%EA%B0%95%EC%B0%B8%EC%88%AF%EB%AF%BC%EB%AC%BC%EC%9E%A5%EC%96%B4+%EB%8C%80%EB%8D%95%EA%B5%AC, friendlyName=블로그 보기</x:v>
      </x:c>
      <x:c r="J9" s="18" t="str"/>
      <x:c r="K9" s="18" t="str"/>
      <x:c r="L9" s="17" t="str"/>
      <x:c r="M9" s="20" t="n">
        <x:v>46215</x:v>
      </x:c>
      <x:c r="N9" s="21" t="n">
        <x:v>31</x:v>
      </x:c>
      <x:c r="O9" s="21" t="n">
        <x:v>92</x:v>
      </x:c>
      <x:c r="P9" s="21" t="n">
        <x:v>142</x:v>
      </x:c>
      <x:c r="Q9" s="21" t="n">
        <x:v>4</x:v>
      </x:c>
      <x:c r="R9" s="21" t="n">
        <x:v>2</x:v>
      </x:c>
      <x:c r="S9" s="17" t="str">
        <x:v>비래동 맛집 | 비래동 한식</x:v>
      </x:c>
      <x:c r="T9" s="22" t="n">
        <x:v>36.352251</x:v>
      </x:c>
      <x:c r="U9" s="22" t="n">
        <x:v>127.4431438</x:v>
      </x:c>
    </x:row>
    <x:row r="10" ht="32" customHeight="1">
      <x:c r="A10" s="18" t="str">
        <x:v>pending</x:v>
      </x:c>
      <x:c r="B10" s="18" t="str">
        <x:v>대덕구</x:v>
      </x:c>
      <x:c r="C10" s="17" t="str">
        <x:v>옥천순대매운족발</x:v>
      </x:c>
      <x:c r="D10" s="17" t="str">
        <x:v>한식&gt;순대,순댓국</x:v>
      </x:c>
      <x:c r="E10" s="19" t="n">
        <x:v>67</x:v>
      </x:c>
      <x:c r="F10" s="17" t="str">
        <x:v>최근 12개월 블로그 100건</x:v>
      </x:c>
      <x:c r="G10" s="17" t="str">
        <x:v>대전광역시 대덕구 송촌동 565-31</x:v>
      </x:c>
      <x:c r="H10" s="17" t="str">
        <x:v>대전광역시 대덕구 송촌로 9</x:v>
      </x:c>
      <x:c r="I10" s="18" t="e">
        <x:f>HYPERLINK("https://search.naver.com/search.naver?where=blog&amp;query=%EC%98%A5%EC%B2%9C%EC%88%9C%EB%8C%80%EB%A7%A4%EC%9A%B4%EC%A1%B1%EB%B0%9C+%EB%8C%80%EB%8D%95%EA%B5%AC","블로그 보기")</x:f>
        <x:v>HYPERLINK is not implemented. linkLocation=https://search.naver.com/search.naver?where=blog&amp;query=%EC%98%A5%EC%B2%9C%EC%88%9C%EB%8C%80%EB%A7%A4%EC%9A%B4%EC%A1%B1%EB%B0%9C+%EB%8C%80%EB%8D%95%EA%B5%AC, friendlyName=블로그 보기</x:v>
      </x:c>
      <x:c r="J10" s="18" t="str"/>
      <x:c r="K10" s="18" t="str"/>
      <x:c r="L10" s="17" t="str"/>
      <x:c r="M10" s="20" t="n">
        <x:v>46220</x:v>
      </x:c>
      <x:c r="N10" s="21" t="n">
        <x:v>100</x:v>
      </x:c>
      <x:c r="O10" s="21" t="n">
        <x:v>94</x:v>
      </x:c>
      <x:c r="P10" s="21" t="n">
        <x:v>1483</x:v>
      </x:c>
      <x:c r="Q10" s="21" t="n">
        <x:v>3</x:v>
      </x:c>
      <x:c r="R10" s="21" t="n">
        <x:v>2</x:v>
      </x:c>
      <x:c r="S10" s="17" t="str">
        <x:v>대덕구 고기 | 대덕구 국밥</x:v>
      </x:c>
      <x:c r="T10" s="22" t="n">
        <x:v>36.3564774</x:v>
      </x:c>
      <x:c r="U10" s="22" t="n">
        <x:v>127.4438293</x:v>
      </x:c>
    </x:row>
    <x:row r="11" ht="32" customHeight="1">
      <x:c r="A11" s="18" t="str">
        <x:v>pending</x:v>
      </x:c>
      <x:c r="B11" s="18" t="str">
        <x:v>대덕구</x:v>
      </x:c>
      <x:c r="C11" s="17" t="str">
        <x:v>양평칼국수콩국수 본점</x:v>
      </x:c>
      <x:c r="D11" s="17" t="str">
        <x:v>음식점&gt;한식&gt;칼국수,만두</x:v>
      </x:c>
      <x:c r="E11" s="19" t="n">
        <x:v>66</x:v>
      </x:c>
      <x:c r="F11" s="17" t="str">
        <x:v>지역성: 본점, 칼국수; 최근 12개월 블로그 100건</x:v>
      </x:c>
      <x:c r="G11" s="17" t="str">
        <x:v>대전광역시 대덕구 중리동 166-10</x:v>
      </x:c>
      <x:c r="H11" s="17" t="str">
        <x:v>대전광역시 대덕구 중리남로28번길 1</x:v>
      </x:c>
      <x:c r="I11" s="18" t="e">
        <x:f>HYPERLINK("https://search.naver.com/search.naver?where=blog&amp;query=%EC%96%91%ED%8F%89%EC%B9%BC%EA%B5%AD%EC%88%98%EC%BD%A9%EA%B5%AD%EC%88%98+%EB%B3%B8%EC%A0%90+%EB%8C%80%EB%8D%95%EA%B5%AC","블로그 보기")</x:f>
        <x:v>HYPERLINK is not implemented. linkLocation=https://search.naver.com/search.naver?where=blog&amp;query=%EC%96%91%ED%8F%89%EC%B9%BC%EA%B5%AD%EC%88%98%EC%BD%A9%EA%B5%AD%EC%88%98+%EB%B3%B8%EC%A0%90+%EB%8C%80%EB%8D%95%EA%B5%AC, friendlyName=블로그 보기</x:v>
      </x:c>
      <x:c r="J11" s="18" t="e">
        <x:f>HYPERLINK("https://www.instagram.com/yangpyeong_kalguksu","업체 보기")</x:f>
        <x:v>HYPERLINK is not implemented. linkLocation=https://www.instagram.com/yangpyeong_kalguksu, friendlyName=업체 보기</x:v>
      </x:c>
      <x:c r="K11" s="18" t="str"/>
      <x:c r="L11" s="17" t="str"/>
      <x:c r="M11" s="20" t="n">
        <x:v>46223</x:v>
      </x:c>
      <x:c r="N11" s="21" t="n">
        <x:v>100</x:v>
      </x:c>
      <x:c r="O11" s="21" t="n">
        <x:v>96</x:v>
      </x:c>
      <x:c r="P11" s="21" t="n">
        <x:v>1224</x:v>
      </x:c>
      <x:c r="Q11" s="21" t="n">
        <x:v>1</x:v>
      </x:c>
      <x:c r="R11" s="21" t="n">
        <x:v>1</x:v>
      </x:c>
      <x:c r="S11" s="17" t="str">
        <x:v>대덕구 칼국수</x:v>
      </x:c>
      <x:c r="T11" s="22" t="n">
        <x:v>36.3611298</x:v>
      </x:c>
      <x:c r="U11" s="22" t="n">
        <x:v>127.4285482</x:v>
      </x:c>
    </x:row>
    <x:row r="12" ht="32" customHeight="1">
      <x:c r="A12" s="18" t="str">
        <x:v>pending</x:v>
      </x:c>
      <x:c r="B12" s="18" t="str">
        <x:v>대덕구</x:v>
      </x:c>
      <x:c r="C12" s="17" t="str">
        <x:v>양평칼국수</x:v>
      </x:c>
      <x:c r="D12" s="17" t="str">
        <x:v>한식&gt;칼국수,만두</x:v>
      </x:c>
      <x:c r="E12" s="19" t="n">
        <x:v>65</x:v>
      </x:c>
      <x:c r="F12" s="17" t="str">
        <x:v>지역성: 칼국수; 최근 12개월 블로그 100건</x:v>
      </x:c>
      <x:c r="G12" s="17" t="str">
        <x:v>대전광역시 대덕구 덕암동 3-24</x:v>
      </x:c>
      <x:c r="H12" s="17" t="str">
        <x:v>대전광역시 대덕구 덕암로265번길 105</x:v>
      </x:c>
      <x:c r="I12" s="18" t="e">
        <x:f>HYPERLINK("https://search.naver.com/search.naver?where=blog&amp;query=%EC%96%91%ED%8F%89%EC%B9%BC%EA%B5%AD%EC%88%98+%EB%8C%80%EB%8D%95%EA%B5%AC","블로그 보기")</x:f>
        <x:v>HYPERLINK is not implemented. linkLocation=https://search.naver.com/search.naver?where=blog&amp;query=%EC%96%91%ED%8F%89%EC%B9%BC%EA%B5%AD%EC%88%98+%EB%8C%80%EB%8D%95%EA%B5%AC, friendlyName=블로그 보기</x:v>
      </x:c>
      <x:c r="J12" s="18" t="str"/>
      <x:c r="K12" s="18" t="str"/>
      <x:c r="L12" s="17" t="str"/>
      <x:c r="M12" s="20" t="n">
        <x:v>46220</x:v>
      </x:c>
      <x:c r="N12" s="21" t="n">
        <x:v>100</x:v>
      </x:c>
      <x:c r="O12" s="21" t="n">
        <x:v>100</x:v>
      </x:c>
      <x:c r="P12" s="21" t="n">
        <x:v>540</x:v>
      </x:c>
      <x:c r="Q12" s="21" t="n">
        <x:v>3</x:v>
      </x:c>
      <x:c r="R12" s="21" t="n">
        <x:v>0</x:v>
      </x:c>
      <x:c r="S12" s="17" t="str">
        <x:v>대덕구 칼국수 | 신탄진 칼국수 | 신탄진 한식</x:v>
      </x:c>
      <x:c r="T12" s="22" t="n">
        <x:v>36.4470823</x:v>
      </x:c>
      <x:c r="U12" s="22" t="n">
        <x:v>127.4213175</x:v>
      </x:c>
    </x:row>
    <x:row r="13" ht="32" customHeight="1">
      <x:c r="A13" s="18" t="str">
        <x:v>pending</x:v>
      </x:c>
      <x:c r="B13" s="18" t="str">
        <x:v>대덕구</x:v>
      </x:c>
      <x:c r="C13" s="17" t="str">
        <x:v>만나숯불구이 중리동본점</x:v>
      </x:c>
      <x:c r="D13" s="17" t="str">
        <x:v>한식&gt;육류,고기요리</x:v>
      </x:c>
      <x:c r="E13" s="19" t="n">
        <x:v>64</x:v>
      </x:c>
      <x:c r="F13" s="17" t="str">
        <x:v>지역성: 본점; 최근 12개월 블로그 100건</x:v>
      </x:c>
      <x:c r="G13" s="17" t="str">
        <x:v>대전광역시 대덕구 중리동 363-33 1층</x:v>
      </x:c>
      <x:c r="H13" s="17" t="str">
        <x:v>대전광역시 대덕구 중리로75번길 20 1층</x:v>
      </x:c>
      <x:c r="I13" s="18" t="e">
        <x:f>HYPERLINK("https://search.naver.com/search.naver?where=blog&amp;query=%EB%A7%8C%EB%82%98%EC%88%AF%EB%B6%88%EA%B5%AC%EC%9D%B4+%EC%A4%91%EB%A6%AC%EB%8F%99%EB%B3%B8%EC%A0%90+%EB%8C%80%EB%8D%95%EA%B5%AC","블로그 보기")</x:f>
        <x:v>HYPERLINK is not implemented. linkLocation=https://search.naver.com/search.naver?where=blog&amp;query=%EB%A7%8C%EB%82%98%EC%88%AF%EB%B6%88%EA%B5%AC%EC%9D%B4+%EC%A4%91%EB%A6%AC%EB%8F%99%EB%B3%B8%EC%A0%90+%EB%8C%80%EB%8D%95%EA%B5%AC, friendlyName=블로그 보기</x:v>
      </x:c>
      <x:c r="J13" s="18" t="e">
        <x:f>HYPERLINK("https://blog.naver.com/kong7249","업체 보기")</x:f>
        <x:v>HYPERLINK is not implemented. linkLocation=https://blog.naver.com/kong7249, friendlyName=업체 보기</x:v>
      </x:c>
      <x:c r="K13" s="18" t="str"/>
      <x:c r="L13" s="17" t="str"/>
      <x:c r="M13" s="20" t="n">
        <x:v>46220</x:v>
      </x:c>
      <x:c r="N13" s="21" t="n">
        <x:v>100</x:v>
      </x:c>
      <x:c r="O13" s="21" t="n">
        <x:v>90</x:v>
      </x:c>
      <x:c r="P13" s="21" t="n">
        <x:v>518</x:v>
      </x:c>
      <x:c r="Q13" s="21" t="n">
        <x:v>2</x:v>
      </x:c>
      <x:c r="R13" s="21" t="n">
        <x:v>1</x:v>
      </x:c>
      <x:c r="S13" s="17" t="str">
        <x:v>대덕구 노포</x:v>
      </x:c>
      <x:c r="T13" s="22" t="n">
        <x:v>36.3658385</x:v>
      </x:c>
      <x:c r="U13" s="22" t="n">
        <x:v>127.4239388</x:v>
      </x:c>
    </x:row>
    <x:row r="14" ht="32" customHeight="1">
      <x:c r="A14" s="18" t="str">
        <x:v>pending</x:v>
      </x:c>
      <x:c r="B14" s="18" t="str">
        <x:v>대덕구</x:v>
      </x:c>
      <x:c r="C14" s="17" t="str">
        <x:v>성채숯불구이 신탄진</x:v>
      </x:c>
      <x:c r="D14" s="17" t="str">
        <x:v>한식&gt;육류,고기요리</x:v>
      </x:c>
      <x:c r="E14" s="19" t="n">
        <x:v>63</x:v>
      </x:c>
      <x:c r="F14" s="17" t="str">
        <x:v>최근 12개월 블로그 74건</x:v>
      </x:c>
      <x:c r="G14" s="17" t="str">
        <x:v>대전광역시 대덕구 신탄진동 121-1 1층</x:v>
      </x:c>
      <x:c r="H14" s="17" t="str">
        <x:v>대전광역시 대덕구 대청로 8 1층</x:v>
      </x:c>
      <x:c r="I14" s="18" t="e">
        <x:f>HYPERLINK("https://search.naver.com/search.naver?where=blog&amp;query=%EC%84%B1%EC%B1%84%EC%88%AF%EB%B6%88%EA%B5%AC%EC%9D%B4+%EC%8B%A0%ED%83%84%EC%A7%84+%EB%8C%80%EB%8D%95%EA%B5%AC","블로그 보기")</x:f>
        <x:v>HYPERLINK is not implemented. linkLocation=https://search.naver.com/search.naver?where=blog&amp;query=%EC%84%B1%EC%B1%84%EC%88%AF%EB%B6%88%EA%B5%AC%EC%9D%B4+%EC%8B%A0%ED%83%84%EC%A7%84+%EB%8C%80%EB%8D%95%EA%B5%AC, friendlyName=블로그 보기</x:v>
      </x:c>
      <x:c r="J14" s="18" t="e">
        <x:f>HYPERLINK("https://www.instagram.com/scbbq.sintan_official/","업체 보기")</x:f>
        <x:v>HYPERLINK is not implemented. linkLocation=https://www.instagram.com/scbbq.sintan_official/, friendlyName=업체 보기</x:v>
      </x:c>
      <x:c r="K14" s="18" t="str"/>
      <x:c r="L14" s="17" t="str"/>
      <x:c r="M14" s="20" t="n">
        <x:v>46219</x:v>
      </x:c>
      <x:c r="N14" s="21" t="n">
        <x:v>74</x:v>
      </x:c>
      <x:c r="O14" s="21" t="n">
        <x:v>87</x:v>
      </x:c>
      <x:c r="P14" s="21" t="n">
        <x:v>358</x:v>
      </x:c>
      <x:c r="Q14" s="21" t="n">
        <x:v>4</x:v>
      </x:c>
      <x:c r="R14" s="21" t="n">
        <x:v>0</x:v>
      </x:c>
      <x:c r="S14" s="17" t="str">
        <x:v>대덕구 고기 | 신탄진 고기 | 신탄진 맛집 | 신탄진 한식</x:v>
      </x:c>
      <x:c r="T14" s="22" t="n">
        <x:v>36.4511364</x:v>
      </x:c>
      <x:c r="U14" s="22" t="n">
        <x:v>127.4294903</x:v>
      </x:c>
    </x:row>
    <x:row r="15" ht="32" customHeight="1">
      <x:c r="A15" s="18" t="str">
        <x:v>pending</x:v>
      </x:c>
      <x:c r="B15" s="18" t="str">
        <x:v>대덕구</x:v>
      </x:c>
      <x:c r="C15" s="17" t="str">
        <x:v>연탄구이</x:v>
      </x:c>
      <x:c r="D15" s="17" t="str">
        <x:v>한식&gt;육류,고기요리</x:v>
      </x:c>
      <x:c r="E15" s="19" t="n">
        <x:v>63</x:v>
      </x:c>
      <x:c r="F15" s="17" t="str">
        <x:v>최근 12개월 블로그 100건</x:v>
      </x:c>
      <x:c r="G15" s="17" t="str">
        <x:v>대전광역시 대덕구 오정동 445-14</x:v>
      </x:c>
      <x:c r="H15" s="17" t="str">
        <x:v>대전광역시 대덕구 한남로88번길 6</x:v>
      </x:c>
      <x:c r="I15" s="18" t="e">
        <x:f>HYPERLINK("https://search.naver.com/search.naver?where=blog&amp;query=%EC%97%B0%ED%83%84%EA%B5%AC%EC%9D%B4+%EB%8C%80%EB%8D%95%EA%B5%AC","블로그 보기")</x:f>
        <x:v>HYPERLINK is not implemented. linkLocation=https://search.naver.com/search.naver?where=blog&amp;query=%EC%97%B0%ED%83%84%EA%B5%AC%EC%9D%B4+%EB%8C%80%EB%8D%95%EA%B5%AC, friendlyName=블로그 보기</x:v>
      </x:c>
      <x:c r="J15" s="18" t="str"/>
      <x:c r="K15" s="18" t="str"/>
      <x:c r="L15" s="17" t="str"/>
      <x:c r="M15" s="20" t="n">
        <x:v>46220</x:v>
      </x:c>
      <x:c r="N15" s="21" t="n">
        <x:v>100</x:v>
      </x:c>
      <x:c r="O15" s="21" t="n">
        <x:v>97</x:v>
      </x:c>
      <x:c r="P15" s="21" t="n">
        <x:v>724</x:v>
      </x:c>
      <x:c r="Q15" s="21" t="n">
        <x:v>3</x:v>
      </x:c>
      <x:c r="R15" s="21" t="n">
        <x:v>1</x:v>
      </x:c>
      <x:c r="S15" s="17" t="str">
        <x:v>대덕구 고기 | 대덕구 노포</x:v>
      </x:c>
      <x:c r="T15" s="22" t="n">
        <x:v>36.3511412</x:v>
      </x:c>
      <x:c r="U15" s="22" t="n">
        <x:v>127.4188553</x:v>
      </x:c>
    </x:row>
    <x:row r="16" ht="32" customHeight="1">
      <x:c r="A16" s="18" t="str">
        <x:v>pending</x:v>
      </x:c>
      <x:c r="B16" s="18" t="str">
        <x:v>대덕구</x:v>
      </x:c>
      <x:c r="C16" s="17" t="str">
        <x:v>원조설악추어탕삼계탕</x:v>
      </x:c>
      <x:c r="D16" s="17" t="str">
        <x:v>음식점&gt;한식</x:v>
      </x:c>
      <x:c r="E16" s="19" t="n">
        <x:v>63</x:v>
      </x:c>
      <x:c r="F16" s="17" t="str">
        <x:v>최근 12개월 블로그 100건</x:v>
      </x:c>
      <x:c r="G16" s="17" t="str">
        <x:v>대전광역시 대덕구 덕암동 8-15 원조설악추어탕삼계탕</x:v>
      </x:c>
      <x:c r="H16" s="17" t="str">
        <x:v>대전광역시 대덕구 덕암북로48번길 9 원조설악추어탕삼계탕</x:v>
      </x:c>
      <x:c r="I16" s="18" t="e">
        <x:f>HYPERLINK("https://search.naver.com/search.naver?where=blog&amp;query=%EC%9B%90%EC%A1%B0%EC%84%A4%EC%95%85%EC%B6%94%EC%96%B4%ED%83%95%EC%82%BC%EA%B3%84%ED%83%95+%EB%8C%80%EB%8D%95%EA%B5%AC","블로그 보기")</x:f>
        <x:v>HYPERLINK is not implemented. linkLocation=https://search.naver.com/search.naver?where=blog&amp;query=%EC%9B%90%EC%A1%B0%EC%84%A4%EC%95%85%EC%B6%94%EC%96%B4%ED%83%95%EC%82%BC%EA%B3%84%ED%83%95+%EB%8C%80%EB%8D%95%EA%B5%AC, friendlyName=블로그 보기</x:v>
      </x:c>
      <x:c r="J16" s="18" t="str"/>
      <x:c r="K16" s="18" t="str"/>
      <x:c r="L16" s="17" t="str"/>
      <x:c r="M16" s="20" t="n">
        <x:v>46218</x:v>
      </x:c>
      <x:c r="N16" s="21" t="n">
        <x:v>100</x:v>
      </x:c>
      <x:c r="O16" s="21" t="n">
        <x:v>98</x:v>
      </x:c>
      <x:c r="P16" s="21" t="n">
        <x:v>1144</x:v>
      </x:c>
      <x:c r="Q16" s="21" t="n">
        <x:v>2</x:v>
      </x:c>
      <x:c r="R16" s="21" t="n">
        <x:v>2</x:v>
      </x:c>
      <x:c r="S16" s="17" t="str">
        <x:v>대덕구 삼계탕 | 신탄진 삼계탕</x:v>
      </x:c>
      <x:c r="T16" s="22" t="n">
        <x:v>36.4452281</x:v>
      </x:c>
      <x:c r="U16" s="22" t="n">
        <x:v>127.4223176</x:v>
      </x:c>
    </x:row>
    <x:row r="17" ht="32" customHeight="1">
      <x:c r="A17" s="18" t="str">
        <x:v>pending</x:v>
      </x:c>
      <x:c r="B17" s="18" t="str">
        <x:v>대덕구</x:v>
      </x:c>
      <x:c r="C17" s="17" t="str">
        <x:v>식당가 신탄진휴게소 서울방향</x:v>
      </x:c>
      <x:c r="D17" s="17" t="str">
        <x:v>음식점&gt;한식</x:v>
      </x:c>
      <x:c r="E17" s="19" t="n">
        <x:v>62</x:v>
      </x:c>
      <x:c r="F17" s="17" t="str">
        <x:v>최근 12개월 블로그 100건</x:v>
      </x:c>
      <x:c r="G17" s="17" t="str">
        <x:v>대전광역시 대덕구 상서동 236-1</x:v>
      </x:c>
      <x:c r="H17" s="17" t="str">
        <x:v>대전광역시 대덕구 산업단지로 27</x:v>
      </x:c>
      <x:c r="I17" s="18" t="e">
        <x:f>HYPERLINK("https://search.naver.com/search.naver?where=blog&amp;query=%EC%8B%9D%EB%8B%B9%EA%B0%80+%EC%8B%A0%ED%83%84%EC%A7%84%ED%9C%B4%EA%B2%8C%EC%86%8C+%EC%84%9C%EC%9A%B8%EB%B0%A9%ED%96%A5+%EB%8C%80%EB%8D%95%EA%B5%AC","블로그 보기")</x:f>
        <x:v>HYPERLINK is not implemented. linkLocation=https://search.naver.com/search.naver?where=blog&amp;query=%EC%8B%9D%EB%8B%B9%EA%B0%80+%EC%8B%A0%ED%83%84%EC%A7%84%ED%9C%B4%EA%B2%8C%EC%86%8C+%EC%84%9C%EC%9A%B8%EB%B0%A9%ED%96%A5+%EB%8C%80%EB%8D%95%EA%B5%AC, friendlyName=블로그 보기</x:v>
      </x:c>
      <x:c r="J17" s="18" t="str"/>
      <x:c r="K17" s="18" t="str"/>
      <x:c r="L17" s="17" t="str"/>
      <x:c r="M17" s="20" t="n">
        <x:v>46198</x:v>
      </x:c>
      <x:c r="N17" s="21" t="n">
        <x:v>100</x:v>
      </x:c>
      <x:c r="O17" s="21" t="n">
        <x:v>91</x:v>
      </x:c>
      <x:c r="P17" s="21" t="n">
        <x:v>574</x:v>
      </x:c>
      <x:c r="Q17" s="21" t="n">
        <x:v>2</x:v>
      </x:c>
      <x:c r="R17" s="21" t="n">
        <x:v>2</x:v>
      </x:c>
      <x:c r="S17" s="17" t="str">
        <x:v>대덕구 국밥 | 신탄진 국밥</x:v>
      </x:c>
      <x:c r="T17" s="22" t="n">
        <x:v>36.426791</x:v>
      </x:c>
      <x:c r="U17" s="22" t="n">
        <x:v>127.4185547</x:v>
      </x:c>
    </x:row>
    <x:row r="18" ht="32" customHeight="1">
      <x:c r="A18" s="18" t="str">
        <x:v>pending</x:v>
      </x:c>
      <x:c r="B18" s="18" t="str">
        <x:v>대덕구</x:v>
      </x:c>
      <x:c r="C18" s="17" t="str">
        <x:v>장수촌 중리점</x:v>
      </x:c>
      <x:c r="D18" s="17" t="str">
        <x:v>한식&gt;백숙,삼계탕</x:v>
      </x:c>
      <x:c r="E18" s="19" t="n">
        <x:v>62</x:v>
      </x:c>
      <x:c r="F18" s="17" t="str">
        <x:v>최근 12개월 블로그 58건</x:v>
      </x:c>
      <x:c r="G18" s="17" t="str">
        <x:v>대전광역시 대덕구 중리동 499-4</x:v>
      </x:c>
      <x:c r="H18" s="17" t="str">
        <x:v>대전광역시 대덕구 송촌북로5번길 10-11</x:v>
      </x:c>
      <x:c r="I18" s="18" t="e">
        <x:f>HYPERLINK("https://search.naver.com/search.naver?where=blog&amp;query=%EC%9E%A5%EC%88%98%EC%B4%8C+%EC%A4%91%EB%A6%AC%EC%A0%90+%EB%8C%80%EB%8D%95%EA%B5%AC","블로그 보기")</x:f>
        <x:v>HYPERLINK is not implemented. linkLocation=https://search.naver.com/search.naver?where=blog&amp;query=%EC%9E%A5%EC%88%98%EC%B4%8C+%EC%A4%91%EB%A6%AC%EC%A0%90+%EB%8C%80%EB%8D%95%EA%B5%AC, friendlyName=블로그 보기</x:v>
      </x:c>
      <x:c r="J18" s="18" t="str"/>
      <x:c r="K18" s="18" t="str"/>
      <x:c r="L18" s="17" t="str"/>
      <x:c r="M18" s="20" t="n">
        <x:v>46217</x:v>
      </x:c>
      <x:c r="N18" s="21" t="n">
        <x:v>58</x:v>
      </x:c>
      <x:c r="O18" s="21" t="n">
        <x:v>98</x:v>
      </x:c>
      <x:c r="P18" s="21" t="n">
        <x:v>236</x:v>
      </x:c>
      <x:c r="Q18" s="21" t="n">
        <x:v>3</x:v>
      </x:c>
      <x:c r="R18" s="21" t="n">
        <x:v>1</x:v>
      </x:c>
      <x:c r="S18" s="17" t="str">
        <x:v>대덕구 삼계탕 | 대덕구 한식</x:v>
      </x:c>
      <x:c r="T18" s="22" t="n">
        <x:v>36.3632614</x:v>
      </x:c>
      <x:c r="U18" s="22" t="n">
        <x:v>127.4362941</x:v>
      </x:c>
    </x:row>
    <x:row r="19" ht="32" customHeight="1">
      <x:c r="A19" s="18" t="str">
        <x:v>pending</x:v>
      </x:c>
      <x:c r="B19" s="18" t="str">
        <x:v>대덕구</x:v>
      </x:c>
      <x:c r="C19" s="17" t="str">
        <x:v>신탄짬뽕 대전신탄진본점</x:v>
      </x:c>
      <x:c r="D19" s="17" t="str">
        <x:v>중식&gt;중식당</x:v>
      </x:c>
      <x:c r="E19" s="19" t="n">
        <x:v>61</x:v>
      </x:c>
      <x:c r="F19" s="17" t="str">
        <x:v>지역성: 본점, 대전; 최근 12개월 블로그 100건</x:v>
      </x:c>
      <x:c r="G19" s="17" t="str">
        <x:v>대전광역시 대덕구 신탄진동 121-25 1층</x:v>
      </x:c>
      <x:c r="H19" s="17" t="str">
        <x:v>대전광역시 대덕구 신탄진동로7번길 74 1층</x:v>
      </x:c>
      <x:c r="I19" s="18" t="e">
        <x:f>HYPERLINK("https://search.naver.com/search.naver?where=blog&amp;query=%EC%8B%A0%ED%83%84%EC%A7%AC%EB%BD%95+%EB%8C%80%EC%A0%84%EC%8B%A0%ED%83%84%EC%A7%84%EB%B3%B8%EC%A0%90+%EC%8B%A0%ED%83%84%EC%A7%84%EB%8F%99","블로그 보기")</x:f>
        <x:v>HYPERLINK is not implemented. linkLocation=https://search.naver.com/search.naver?where=blog&amp;query=%EC%8B%A0%ED%83%84%EC%A7%AC%EB%BD%95+%EB%8C%80%EC%A0%84%EC%8B%A0%ED%83%84%EC%A7%84%EB%B3%B8%EC%A0%90+%EC%8B%A0%ED%83%84%EC%A7%84%EB%8F%99, friendlyName=블로그 보기</x:v>
      </x:c>
      <x:c r="J19" s="18" t="str"/>
      <x:c r="K19" s="18" t="str"/>
      <x:c r="L19" s="17" t="str"/>
      <x:c r="M19" s="20" t="n">
        <x:v>46220</x:v>
      </x:c>
      <x:c r="N19" s="21" t="n">
        <x:v>100</x:v>
      </x:c>
      <x:c r="O19" s="21" t="n">
        <x:v>55</x:v>
      </x:c>
      <x:c r="P19" s="21" t="n">
        <x:v>391</x:v>
      </x:c>
      <x:c r="Q19" s="21" t="n">
        <x:v>1</x:v>
      </x:c>
      <x:c r="R19" s="21" t="n">
        <x:v>0</x:v>
      </x:c>
      <x:c r="S19" s="17" t="str">
        <x:v>신탄진 중식</x:v>
      </x:c>
      <x:c r="T19" s="22" t="n">
        <x:v>36.4508837</x:v>
      </x:c>
      <x:c r="U19" s="22" t="n">
        <x:v>127.4295761</x:v>
      </x:c>
    </x:row>
    <x:row r="20" ht="32" customHeight="1">
      <x:c r="A20" s="18" t="str">
        <x:v>pending</x:v>
      </x:c>
      <x:c r="B20" s="18" t="str">
        <x:v>대덕구</x:v>
      </x:c>
      <x:c r="C20" s="17" t="str">
        <x:v>왕실전골칼국수 선비마을점</x:v>
      </x:c>
      <x:c r="D20" s="17" t="str">
        <x:v>한식&gt;칼국수,만두</x:v>
      </x:c>
      <x:c r="E20" s="19" t="n">
        <x:v>61</x:v>
      </x:c>
      <x:c r="F20" s="17" t="str">
        <x:v>지역성: 칼국수; 최근 12개월 블로그 23건</x:v>
      </x:c>
      <x:c r="G20" s="17" t="str">
        <x:v>대전광역시 대덕구 송촌동 482-1</x:v>
      </x:c>
      <x:c r="H20" s="17" t="str">
        <x:v>대전광역시 대덕구 계족산로36번길 67</x:v>
      </x:c>
      <x:c r="I20" s="18" t="e">
        <x:f>HYPERLINK("https://search.naver.com/search.naver?where=blog&amp;query=%EC%99%95%EC%8B%A4%EC%A0%84%EA%B3%A8%EC%B9%BC%EA%B5%AD%EC%88%98+%EC%84%A0%EB%B9%84%EB%A7%88%EC%9D%84%EC%A0%90+%EB%8C%80%EB%8D%95%EA%B5%AC","블로그 보기")</x:f>
        <x:v>HYPERLINK is not implemented. linkLocation=https://search.naver.com/search.naver?where=blog&amp;query=%EC%99%95%EC%8B%A4%EC%A0%84%EA%B3%A8%EC%B9%BC%EA%B5%AD%EC%88%98+%EC%84%A0%EB%B9%84%EB%A7%88%EC%9D%84%EC%A0%90+%EB%8C%80%EB%8D%95%EA%B5%AC, friendlyName=블로그 보기</x:v>
      </x:c>
      <x:c r="J20" s="18" t="str"/>
      <x:c r="K20" s="18" t="str"/>
      <x:c r="L20" s="17" t="str"/>
      <x:c r="M20" s="20" t="n">
        <x:v>46220</x:v>
      </x:c>
      <x:c r="N20" s="21" t="n">
        <x:v>23</x:v>
      </x:c>
      <x:c r="O20" s="21" t="n">
        <x:v>47</x:v>
      </x:c>
      <x:c r="P20" s="21" t="n">
        <x:v>67</x:v>
      </x:c>
      <x:c r="Q20" s="21" t="n">
        <x:v>2</x:v>
      </x:c>
      <x:c r="R20" s="21" t="n">
        <x:v>1</x:v>
      </x:c>
      <x:c r="S20" s="17" t="str">
        <x:v>대덕구 두부두루치기</x:v>
      </x:c>
      <x:c r="T20" s="22" t="n">
        <x:v>36.3622978</x:v>
      </x:c>
      <x:c r="U20" s="22" t="n">
        <x:v>127.4388519</x:v>
      </x:c>
    </x:row>
    <x:row r="21" ht="32" customHeight="1">
      <x:c r="A21" s="18" t="str">
        <x:v>pending</x:v>
      </x:c>
      <x:c r="B21" s="18" t="str">
        <x:v>대덕구</x:v>
      </x:c>
      <x:c r="C21" s="17" t="str">
        <x:v>샤브마니아 대전송촌점</x:v>
      </x:c>
      <x:c r="D21" s="17" t="str">
        <x:v>음식점&gt;일식&gt;샤브샤브</x:v>
      </x:c>
      <x:c r="E21" s="19" t="n">
        <x:v>60</x:v>
      </x:c>
      <x:c r="F21" s="17" t="str">
        <x:v>지역성: 대전; 최근 12개월 블로그 100건</x:v>
      </x:c>
      <x:c r="G21" s="17" t="str">
        <x:v>대전광역시 대덕구 송촌동 447-4 1층 샤브마니아 송촌점</x:v>
      </x:c>
      <x:c r="H21" s="17" t="str">
        <x:v>대전광역시 대덕구 계족산로81번길 92 1층 샤브마니아 송촌점</x:v>
      </x:c>
      <x:c r="I21" s="18" t="e">
        <x:f>HYPERLINK("https://search.naver.com/search.naver?where=blog&amp;query=%EC%83%A4%EB%B8%8C%EB%A7%88%EB%8B%88%EC%95%84+%EB%8C%80%EC%A0%84%EC%86%A1%EC%B4%8C%EC%A0%90+%EB%8C%80%EB%8D%95%EA%B5%AC","블로그 보기")</x:f>
        <x:v>HYPERLINK is not implemented. linkLocation=https://search.naver.com/search.naver?where=blog&amp;query=%EC%83%A4%EB%B8%8C%EB%A7%88%EB%8B%88%EC%95%84+%EB%8C%80%EC%A0%84%EC%86%A1%EC%B4%8C%EC%A0%90+%EB%8C%80%EB%8D%95%EA%B5%AC, friendlyName=블로그 보기</x:v>
      </x:c>
      <x:c r="J21" s="18" t="e">
        <x:f>HYPERLINK("https://www.instagram.com/1sb.mania","업체 보기")</x:f>
        <x:v>HYPERLINK is not implemented. linkLocation=https://www.instagram.com/1sb.mania, friendlyName=업체 보기</x:v>
      </x:c>
      <x:c r="K21" s="18" t="str"/>
      <x:c r="L21" s="17" t="str"/>
      <x:c r="M21" s="20" t="n">
        <x:v>46223</x:v>
      </x:c>
      <x:c r="N21" s="21" t="n">
        <x:v>100</x:v>
      </x:c>
      <x:c r="O21" s="21" t="n">
        <x:v>94</x:v>
      </x:c>
      <x:c r="P21" s="21" t="n">
        <x:v>492</x:v>
      </x:c>
      <x:c r="Q21" s="21" t="n">
        <x:v>1</x:v>
      </x:c>
      <x:c r="R21" s="21" t="n">
        <x:v>1</x:v>
      </x:c>
      <x:c r="S21" s="17" t="str">
        <x:v>대덕구 일식</x:v>
      </x:c>
      <x:c r="T21" s="22" t="n">
        <x:v>36.3665548</x:v>
      </x:c>
      <x:c r="U21" s="22" t="n">
        <x:v>127.4373537</x:v>
      </x:c>
    </x:row>
    <x:row r="22" ht="32" customHeight="1">
      <x:c r="A22" s="18" t="str">
        <x:v>pending</x:v>
      </x:c>
      <x:c r="B22" s="18" t="str">
        <x:v>대덕구</x:v>
      </x:c>
      <x:c r="C22" s="17" t="str">
        <x:v>스텔라떡볶이 대전신탄진점</x:v>
      </x:c>
      <x:c r="D22" s="17" t="str">
        <x:v>음식점&gt;분식</x:v>
      </x:c>
      <x:c r="E22" s="19" t="n">
        <x:v>60</x:v>
      </x:c>
      <x:c r="F22" s="17" t="str">
        <x:v>지역성: 대전; 최근 12개월 블로그 100건</x:v>
      </x:c>
      <x:c r="G22" s="17" t="str">
        <x:v>대전광역시 대덕구 신탄진동 145-6 1층</x:v>
      </x:c>
      <x:c r="H22" s="17" t="str">
        <x:v>대전광역시 대덕구 신탄진로 815 1층</x:v>
      </x:c>
      <x:c r="I22" s="18" t="e">
        <x:f>HYPERLINK("https://search.naver.com/search.naver?where=blog&amp;query=%EC%8A%A4%ED%85%94%EB%9D%BC%EB%96%A1%EB%B3%B6%EC%9D%B4+%EB%8C%80%EC%A0%84%EC%8B%A0%ED%83%84%EC%A7%84%EC%A0%90+%EB%8C%80%EB%8D%95%EA%B5%AC","블로그 보기")</x:f>
        <x:v>HYPERLINK is not implemented. linkLocation=https://search.naver.com/search.naver?where=blog&amp;query=%EC%8A%A4%ED%85%94%EB%9D%BC%EB%96%A1%EB%B3%B6%EC%9D%B4+%EB%8C%80%EC%A0%84%EC%8B%A0%ED%83%84%EC%A7%84%EC%A0%90+%EB%8C%80%EB%8D%95%EA%B5%AC, friendlyName=블로그 보기</x:v>
      </x:c>
      <x:c r="J22" s="18" t="e">
        <x:f>HYPERLINK("https://www.stellapick.com/","업체 보기")</x:f>
        <x:v>HYPERLINK is not implemented. linkLocation=https://www.stellapick.com/, friendlyName=업체 보기</x:v>
      </x:c>
      <x:c r="K22" s="18" t="str"/>
      <x:c r="L22" s="17" t="str"/>
      <x:c r="M22" s="20" t="n">
        <x:v>46223</x:v>
      </x:c>
      <x:c r="N22" s="21" t="n">
        <x:v>100</x:v>
      </x:c>
      <x:c r="O22" s="21" t="n">
        <x:v>89</x:v>
      </x:c>
      <x:c r="P22" s="21" t="n">
        <x:v>346</x:v>
      </x:c>
      <x:c r="Q22" s="21" t="n">
        <x:v>2</x:v>
      </x:c>
      <x:c r="R22" s="21" t="n">
        <x:v>0</x:v>
      </x:c>
      <x:c r="S22" s="17" t="str">
        <x:v>대덕구 분식 | 신탄진 분식</x:v>
      </x:c>
      <x:c r="T22" s="22" t="n">
        <x:v>36.450366</x:v>
      </x:c>
      <x:c r="U22" s="22" t="n">
        <x:v>127.4287573</x:v>
      </x:c>
    </x:row>
    <x:row r="23" ht="32" customHeight="1">
      <x:c r="A23" s="18" t="str">
        <x:v>pending</x:v>
      </x:c>
      <x:c r="B23" s="18" t="str">
        <x:v>대덕구</x:v>
      </x:c>
      <x:c r="C23" s="17" t="str">
        <x:v>대청골순대국밥전문점</x:v>
      </x:c>
      <x:c r="D23" s="17" t="str">
        <x:v>한식&gt;순대,순댓국</x:v>
      </x:c>
      <x:c r="E23" s="19" t="n">
        <x:v>59</x:v>
      </x:c>
      <x:c r="F23" s="17" t="str">
        <x:v>최근 12개월 블로그 100건</x:v>
      </x:c>
      <x:c r="G23" s="17" t="str">
        <x:v>대전광역시 대덕구 신탄진동 121-6</x:v>
      </x:c>
      <x:c r="H23" s="17" t="str">
        <x:v>대전광역시 대덕구 대청로 10</x:v>
      </x:c>
      <x:c r="I23" s="18" t="e">
        <x:f>HYPERLINK("https://search.naver.com/search.naver?where=blog&amp;query=%EB%8C%80%EC%B2%AD%EA%B3%A8%EC%88%9C%EB%8C%80%EA%B5%AD%EB%B0%A5%EC%A0%84%EB%AC%B8%EC%A0%90+%EB%8C%80%EB%8D%95%EA%B5%AC","블로그 보기")</x:f>
        <x:v>HYPERLINK is not implemented. linkLocation=https://search.naver.com/search.naver?where=blog&amp;query=%EB%8C%80%EC%B2%AD%EA%B3%A8%EC%88%9C%EB%8C%80%EA%B5%AD%EB%B0%A5%EC%A0%84%EB%AC%B8%EC%A0%90+%EB%8C%80%EB%8D%95%EA%B5%AC, friendlyName=블로그 보기</x:v>
      </x:c>
      <x:c r="J23" s="18" t="e">
        <x:f>HYPERLINK("https://daecheonggol.creatorlink.net/","업체 보기")</x:f>
        <x:v>HYPERLINK is not implemented. linkLocation=https://daecheonggol.creatorlink.net/, friendlyName=업체 보기</x:v>
      </x:c>
      <x:c r="K23" s="18" t="str"/>
      <x:c r="L23" s="17" t="str"/>
      <x:c r="M23" s="20" t="n">
        <x:v>46220</x:v>
      </x:c>
      <x:c r="N23" s="21" t="n">
        <x:v>100</x:v>
      </x:c>
      <x:c r="O23" s="21" t="n">
        <x:v>91</x:v>
      </x:c>
      <x:c r="P23" s="21" t="n">
        <x:v>845</x:v>
      </x:c>
      <x:c r="Q23" s="21" t="n">
        <x:v>2</x:v>
      </x:c>
      <x:c r="R23" s="21" t="n">
        <x:v>1</x:v>
      </x:c>
      <x:c r="S23" s="17" t="str">
        <x:v>신탄진 국밥</x:v>
      </x:c>
      <x:c r="T23" s="22" t="n">
        <x:v>36.4512022</x:v>
      </x:c>
      <x:c r="U23" s="22" t="n">
        <x:v>127.4297305</x:v>
      </x:c>
    </x:row>
    <x:row r="24" ht="32" customHeight="1">
      <x:c r="A24" s="18" t="str">
        <x:v>pending</x:v>
      </x:c>
      <x:c r="B24" s="18" t="str">
        <x:v>대덕구</x:v>
      </x:c>
      <x:c r="C24" s="17" t="str">
        <x:v>손의손 송촌점</x:v>
      </x:c>
      <x:c r="D24" s="17" t="str">
        <x:v>해물,생선요리&gt;주꾸미요리</x:v>
      </x:c>
      <x:c r="E24" s="19" t="n">
        <x:v>59</x:v>
      </x:c>
      <x:c r="F24" s="17" t="str">
        <x:v>최근 12개월 블로그 57건</x:v>
      </x:c>
      <x:c r="G24" s="17" t="str">
        <x:v>대전광역시 대덕구 송촌동 459-4 2층 201호</x:v>
      </x:c>
      <x:c r="H24" s="17" t="str">
        <x:v>대전광역시 대덕구 계족산로81번길 64 2층 201호</x:v>
      </x:c>
      <x:c r="I24" s="18" t="e">
        <x:f>HYPERLINK("https://search.naver.com/search.naver?where=blog&amp;query=%EC%86%90%EC%9D%98%EC%86%90+%EC%86%A1%EC%B4%8C%EC%A0%90+%EB%8C%80%EB%8D%95%EA%B5%AC","블로그 보기")</x:f>
        <x:v>HYPERLINK is not implemented. linkLocation=https://search.naver.com/search.naver?where=blog&amp;query=%EC%86%90%EC%9D%98%EC%86%90+%EC%86%A1%EC%B4%8C%EC%A0%90+%EB%8C%80%EB%8D%95%EA%B5%AC, friendlyName=블로그 보기</x:v>
      </x:c>
      <x:c r="J24" s="18" t="e">
        <x:f>HYPERLINK("https://손의손.com","업체 보기")</x:f>
        <x:v>HYPERLINK is not implemented. linkLocation=https://손의손.com, friendlyName=업체 보기</x:v>
      </x:c>
      <x:c r="K24" s="18" t="str"/>
      <x:c r="L24" s="17" t="str"/>
      <x:c r="M24" s="20" t="n">
        <x:v>46219</x:v>
      </x:c>
      <x:c r="N24" s="21" t="n">
        <x:v>57</x:v>
      </x:c>
      <x:c r="O24" s="21" t="n">
        <x:v>59</x:v>
      </x:c>
      <x:c r="P24" s="21" t="n">
        <x:v>60</x:v>
      </x:c>
      <x:c r="Q24" s="21" t="n">
        <x:v>2</x:v>
      </x:c>
      <x:c r="R24" s="21" t="n">
        <x:v>2</x:v>
      </x:c>
      <x:c r="S24" s="17" t="str">
        <x:v>대덕구 냉면 | 대덕구 해산물</x:v>
      </x:c>
      <x:c r="T24" s="22" t="n">
        <x:v>36.3656895</x:v>
      </x:c>
      <x:c r="U24" s="22" t="n">
        <x:v>127.4386347</x:v>
      </x:c>
    </x:row>
    <x:row r="25" ht="32" customHeight="1">
      <x:c r="A25" s="18" t="str">
        <x:v>pending</x:v>
      </x:c>
      <x:c r="B25" s="18" t="str">
        <x:v>대덕구</x:v>
      </x:c>
      <x:c r="C25" s="17" t="str">
        <x:v>얌샘김밥 신탄진점</x:v>
      </x:c>
      <x:c r="D25" s="17" t="str">
        <x:v>음식점&gt;분식</x:v>
      </x:c>
      <x:c r="E25" s="19" t="n">
        <x:v>59</x:v>
      </x:c>
      <x:c r="F25" s="17" t="str">
        <x:v>최근 12개월 블로그 9건</x:v>
      </x:c>
      <x:c r="G25" s="17" t="str">
        <x:v>대전광역시 대덕구 신탄진동 143-16 1층</x:v>
      </x:c>
      <x:c r="H25" s="17" t="str">
        <x:v>대전광역시 대덕구 신탄진로 802 1층</x:v>
      </x:c>
      <x:c r="I25" s="18" t="e">
        <x:f>HYPERLINK("https://search.naver.com/search.naver?where=blog&amp;query=%EC%96%8C%EC%83%98%EA%B9%80%EB%B0%A5+%EC%8B%A0%ED%83%84%EC%A7%84%EC%A0%90+%EB%8C%80%EB%8D%95%EA%B5%AC","블로그 보기")</x:f>
        <x:v>HYPERLINK is not implemented. linkLocation=https://search.naver.com/search.naver?where=blog&amp;query=%EC%96%8C%EC%83%98%EA%B9%80%EB%B0%A5+%EC%8B%A0%ED%83%84%EC%A7%84%EC%A0%90+%EB%8C%80%EB%8D%95%EA%B5%AC, friendlyName=블로그 보기</x:v>
      </x:c>
      <x:c r="J25" s="18" t="e">
        <x:f>HYPERLINK("https://www.instagram.com/yumsem_official","업체 보기")</x:f>
        <x:v>HYPERLINK is not implemented. linkLocation=https://www.instagram.com/yumsem_official, friendlyName=업체 보기</x:v>
      </x:c>
      <x:c r="K25" s="18" t="str"/>
      <x:c r="L25" s="17" t="str"/>
      <x:c r="M25" s="20" t="n">
        <x:v>46073</x:v>
      </x:c>
      <x:c r="N25" s="21" t="n">
        <x:v>9</x:v>
      </x:c>
      <x:c r="O25" s="21" t="n">
        <x:v>17</x:v>
      </x:c>
      <x:c r="P25" s="21" t="n">
        <x:v>21</x:v>
      </x:c>
      <x:c r="Q25" s="21" t="n">
        <x:v>3</x:v>
      </x:c>
      <x:c r="R25" s="21" t="n">
        <x:v>1</x:v>
      </x:c>
      <x:c r="S25" s="17" t="str">
        <x:v>대덕구 분식 | 신탄진 분식</x:v>
      </x:c>
      <x:c r="T25" s="22" t="n">
        <x:v>36.4491272</x:v>
      </x:c>
      <x:c r="U25" s="22" t="n">
        <x:v>127.4294317</x:v>
      </x:c>
    </x:row>
    <x:row r="26" ht="32" customHeight="1">
      <x:c r="A26" s="18" t="str">
        <x:v>pending</x:v>
      </x:c>
      <x:c r="B26" s="18" t="str">
        <x:v>대덕구</x:v>
      </x:c>
      <x:c r="C26" s="17" t="str">
        <x:v>명가네보쌈칼국수</x:v>
      </x:c>
      <x:c r="D26" s="17" t="str">
        <x:v>한식&gt;칼국수,만두</x:v>
      </x:c>
      <x:c r="E26" s="19" t="n">
        <x:v>58</x:v>
      </x:c>
      <x:c r="F26" s="17" t="str">
        <x:v>지역성: 칼국수; 최근 12개월 블로그 22건</x:v>
      </x:c>
      <x:c r="G26" s="17" t="str">
        <x:v>대전광역시 대덕구 비래동 138-1</x:v>
      </x:c>
      <x:c r="H26" s="17" t="str">
        <x:v>대전광역시 대덕구 비래동로 30</x:v>
      </x:c>
      <x:c r="I26" s="18" t="e">
        <x:f>HYPERLINK("https://search.naver.com/search.naver?where=blog&amp;query=%EB%AA%85%EA%B0%80%EB%84%A4%EB%B3%B4%EC%8C%88%EC%B9%BC%EA%B5%AD%EC%88%98+%EB%B9%84%EB%9E%98%EB%8F%99","블로그 보기")</x:f>
        <x:v>HYPERLINK is not implemented. linkLocation=https://search.naver.com/search.naver?where=blog&amp;query=%EB%AA%85%EA%B0%80%EB%84%A4%EB%B3%B4%EC%8C%88%EC%B9%BC%EA%B5%AD%EC%88%98+%EB%B9%84%EB%9E%98%EB%8F%99, friendlyName=블로그 보기</x:v>
      </x:c>
      <x:c r="J26" s="18" t="str"/>
      <x:c r="K26" s="18" t="str"/>
      <x:c r="L26" s="17" t="str"/>
      <x:c r="M26" s="20" t="n">
        <x:v>46109</x:v>
      </x:c>
      <x:c r="N26" s="21" t="n">
        <x:v>22</x:v>
      </x:c>
      <x:c r="O26" s="21" t="n">
        <x:v>73</x:v>
      </x:c>
      <x:c r="P26" s="21" t="n">
        <x:v>131</x:v>
      </x:c>
      <x:c r="Q26" s="21" t="n">
        <x:v>1</x:v>
      </x:c>
      <x:c r="R26" s="21" t="n">
        <x:v>1</x:v>
      </x:c>
      <x:c r="S26" s="17" t="str">
        <x:v>비래동 한식</x:v>
      </x:c>
      <x:c r="T26" s="22" t="n">
        <x:v>36.3564539</x:v>
      </x:c>
      <x:c r="U26" s="22" t="n">
        <x:v>127.45067</x:v>
      </x:c>
    </x:row>
    <x:row r="27" ht="32" customHeight="1">
      <x:c r="A27" s="18" t="str">
        <x:v>pending</x:v>
      </x:c>
      <x:c r="B27" s="18" t="str">
        <x:v>대덕구</x:v>
      </x:c>
      <x:c r="C27" s="17" t="str">
        <x:v>영화반점</x:v>
      </x:c>
      <x:c r="D27" s="17" t="str">
        <x:v>중식&gt;중식당</x:v>
      </x:c>
      <x:c r="E27" s="19" t="n">
        <x:v>58</x:v>
      </x:c>
      <x:c r="F27" s="17" t="str">
        <x:v>최근 12개월 블로그 10건</x:v>
      </x:c>
      <x:c r="G27" s="17" t="str">
        <x:v>대전광역시 대덕구 신탄진동 139-17</x:v>
      </x:c>
      <x:c r="H27" s="17" t="str">
        <x:v>대전광역시 대덕구 신탄진동로23번길 46</x:v>
      </x:c>
      <x:c r="I27" s="18" t="e">
        <x:f>HYPERLINK("https://search.naver.com/search.naver?where=blog&amp;query=%EC%98%81%ED%99%94%EB%B0%98%EC%A0%90+%EC%8B%A0%ED%83%84%EC%A7%84%EB%8F%99","블로그 보기")</x:f>
        <x:v>HYPERLINK is not implemented. linkLocation=https://search.naver.com/search.naver?where=blog&amp;query=%EC%98%81%ED%99%94%EB%B0%98%EC%A0%90+%EC%8B%A0%ED%83%84%EC%A7%84%EB%8F%99, friendlyName=블로그 보기</x:v>
      </x:c>
      <x:c r="J27" s="18" t="str"/>
      <x:c r="K27" s="18" t="str"/>
      <x:c r="L27" s="17" t="str"/>
      <x:c r="M27" s="20" t="n">
        <x:v>46145</x:v>
      </x:c>
      <x:c r="N27" s="21" t="n">
        <x:v>10</x:v>
      </x:c>
      <x:c r="O27" s="21" t="n">
        <x:v>87</x:v>
      </x:c>
      <x:c r="P27" s="21" t="n">
        <x:v>102</x:v>
      </x:c>
      <x:c r="Q27" s="21" t="n">
        <x:v>3</x:v>
      </x:c>
      <x:c r="R27" s="21" t="n">
        <x:v>0</x:v>
      </x:c>
      <x:c r="S27" s="17" t="str">
        <x:v>대덕구 중식 | 신탄진 중식 | 신탄진 해산물</x:v>
      </x:c>
      <x:c r="T27" s="22" t="n">
        <x:v>36.4498285</x:v>
      </x:c>
      <x:c r="U27" s="22" t="n">
        <x:v>127.431543</x:v>
      </x:c>
    </x:row>
    <x:row r="28" ht="32" customHeight="1">
      <x:c r="A28" s="18" t="str">
        <x:v>pending</x:v>
      </x:c>
      <x:c r="B28" s="18" t="str">
        <x:v>대덕구</x:v>
      </x:c>
      <x:c r="C28" s="17" t="str">
        <x:v>유가옥 설렁탕 본점</x:v>
      </x:c>
      <x:c r="D28" s="17" t="str">
        <x:v>한식&gt;곰탕,설렁탕</x:v>
      </x:c>
      <x:c r="E28" s="19" t="n">
        <x:v>58</x:v>
      </x:c>
      <x:c r="F28" s="17" t="str">
        <x:v>지역성: 본점; 최근 12개월 블로그 54건</x:v>
      </x:c>
      <x:c r="G28" s="17" t="str">
        <x:v>대전광역시 대덕구 중리동 202-1</x:v>
      </x:c>
      <x:c r="H28" s="17" t="str">
        <x:v>대전광역시 대덕구 한밭대로 1161</x:v>
      </x:c>
      <x:c r="I28" s="18" t="e">
        <x:f>HYPERLINK("https://search.naver.com/search.naver?where=blog&amp;query=%EC%9C%A0%EA%B0%80%EC%98%A5+%EC%84%A4%EB%A0%81%ED%83%95+%EB%B3%B8%EC%A0%90+%EB%8C%80%EB%8D%95%EA%B5%AC","블로그 보기")</x:f>
        <x:v>HYPERLINK is not implemented. linkLocation=https://search.naver.com/search.naver?where=blog&amp;query=%EC%9C%A0%EA%B0%80%EC%98%A5+%EC%84%A4%EB%A0%81%ED%83%95+%EB%B3%B8%EC%A0%90+%EB%8C%80%EB%8D%95%EA%B5%AC, friendlyName=블로그 보기</x:v>
      </x:c>
      <x:c r="J28" s="18" t="str"/>
      <x:c r="K28" s="18" t="str"/>
      <x:c r="L28" s="17" t="str"/>
      <x:c r="M28" s="20" t="n">
        <x:v>46220</x:v>
      </x:c>
      <x:c r="N28" s="21" t="n">
        <x:v>54</x:v>
      </x:c>
      <x:c r="O28" s="21" t="n">
        <x:v>75</x:v>
      </x:c>
      <x:c r="P28" s="21" t="n">
        <x:v>110</x:v>
      </x:c>
      <x:c r="Q28" s="21" t="n">
        <x:v>1</x:v>
      </x:c>
      <x:c r="R28" s="21" t="n">
        <x:v>1</x:v>
      </x:c>
      <x:c r="S28" s="17" t="str">
        <x:v>대덕구 냉면</x:v>
      </x:c>
      <x:c r="T28" s="22" t="n">
        <x:v>36.3593091</x:v>
      </x:c>
      <x:c r="U28" s="22" t="n">
        <x:v>127.427489</x:v>
      </x:c>
    </x:row>
    <x:row r="29" ht="32" customHeight="1">
      <x:c r="A29" s="18" t="str">
        <x:v>pending</x:v>
      </x:c>
      <x:c r="B29" s="18" t="str">
        <x:v>대덕구</x:v>
      </x:c>
      <x:c r="C29" s="17" t="str">
        <x:v>제주은희네해장국 대전신탄진점</x:v>
      </x:c>
      <x:c r="D29" s="17" t="str">
        <x:v>한식&gt;해장국</x:v>
      </x:c>
      <x:c r="E29" s="19" t="n">
        <x:v>58</x:v>
      </x:c>
      <x:c r="F29" s="17" t="str">
        <x:v>지역성: 대전; 최근 12개월 블로그 61건</x:v>
      </x:c>
      <x:c r="G29" s="17" t="str">
        <x:v>대전광역시 대덕구 상서동 396-3 나동 1층</x:v>
      </x:c>
      <x:c r="H29" s="17" t="str">
        <x:v>대전광역시 대덕구 신탄진로 490 나동 1층</x:v>
      </x:c>
      <x:c r="I29" s="18" t="e">
        <x:f>HYPERLINK("https://search.naver.com/search.naver?where=blog&amp;query=%EC%A0%9C%EC%A3%BC%EC%9D%80%ED%9D%AC%EB%84%A4%ED%95%B4%EC%9E%A5%EA%B5%AD+%EB%8C%80%EC%A0%84%EC%8B%A0%ED%83%84%EC%A7%84%EC%A0%90+%EB%82%98%EB%8F%99","블로그 보기")</x:f>
        <x:v>HYPERLINK is not implemented. linkLocation=https://search.naver.com/search.naver?where=blog&amp;query=%EC%A0%9C%EC%A3%BC%EC%9D%80%ED%9D%AC%EB%84%A4%ED%95%B4%EC%9E%A5%EA%B5%AD+%EB%8C%80%EC%A0%84%EC%8B%A0%ED%83%84%EC%A7%84%EC%A0%90+%EB%82%98%EB%8F%99, friendlyName=블로그 보기</x:v>
      </x:c>
      <x:c r="J29" s="18" t="str"/>
      <x:c r="K29" s="18" t="str"/>
      <x:c r="L29" s="17" t="str"/>
      <x:c r="M29" s="20" t="n">
        <x:v>46220</x:v>
      </x:c>
      <x:c r="N29" s="21" t="n">
        <x:v>61</x:v>
      </x:c>
      <x:c r="O29" s="21" t="n">
        <x:v>96</x:v>
      </x:c>
      <x:c r="P29" s="21" t="n">
        <x:v>193</x:v>
      </x:c>
      <x:c r="Q29" s="21" t="n">
        <x:v>1</x:v>
      </x:c>
      <x:c r="R29" s="21" t="n">
        <x:v>1</x:v>
      </x:c>
      <x:c r="S29" s="17" t="str">
        <x:v>신탄진 국밥</x:v>
      </x:c>
      <x:c r="T29" s="22" t="n">
        <x:v>36.423151</x:v>
      </x:c>
      <x:c r="U29" s="22" t="n">
        <x:v>127.4198462</x:v>
      </x:c>
    </x:row>
    <x:row r="30" ht="32" customHeight="1">
      <x:c r="A30" s="18" t="str">
        <x:v>pending</x:v>
      </x:c>
      <x:c r="B30" s="18" t="str">
        <x:v>대덕구</x:v>
      </x:c>
      <x:c r="C30" s="17" t="str">
        <x:v>짬뽕지존 신탄진점</x:v>
      </x:c>
      <x:c r="D30" s="17" t="str">
        <x:v>음식점&gt;중식당</x:v>
      </x:c>
      <x:c r="E30" s="19" t="n">
        <x:v>58</x:v>
      </x:c>
      <x:c r="F30" s="17" t="str">
        <x:v>최근 12개월 블로그 9건</x:v>
      </x:c>
      <x:c r="G30" s="17" t="str">
        <x:v>대전광역시 대덕구 상서동 282 1,2층</x:v>
      </x:c>
      <x:c r="H30" s="17" t="str">
        <x:v>대전광역시 대덕구 신탄진로 578 1,2층</x:v>
      </x:c>
      <x:c r="I30" s="18" t="e">
        <x:f>HYPERLINK("https://search.naver.com/search.naver?where=blog&amp;query=%EC%A7%AC%EB%BD%95%EC%A7%80%EC%A1%B4+%EC%8B%A0%ED%83%84%EC%A7%84%EC%A0%90+%EB%8C%80%EB%8D%95%EA%B5%AC","블로그 보기")</x:f>
        <x:v>HYPERLINK is not implemented. linkLocation=https://search.naver.com/search.naver?where=blog&amp;query=%EC%A7%AC%EB%BD%95%EC%A7%80%EC%A1%B4+%EC%8B%A0%ED%83%84%EC%A7%84%EC%A0%90+%EB%8C%80%EB%8D%95%EA%B5%AC, friendlyName=블로그 보기</x:v>
      </x:c>
      <x:c r="J30" s="18" t="str"/>
      <x:c r="K30" s="18" t="str"/>
      <x:c r="L30" s="17" t="str"/>
      <x:c r="M30" s="20" t="n">
        <x:v>46135</x:v>
      </x:c>
      <x:c r="N30" s="21" t="n">
        <x:v>9</x:v>
      </x:c>
      <x:c r="O30" s="21" t="n">
        <x:v>35</x:v>
      </x:c>
      <x:c r="P30" s="21" t="n">
        <x:v>43</x:v>
      </x:c>
      <x:c r="Q30" s="21" t="n">
        <x:v>2</x:v>
      </x:c>
      <x:c r="R30" s="21" t="n">
        <x:v>2</x:v>
      </x:c>
      <x:c r="S30" s="17" t="str">
        <x:v>대덕구 중식 | 신탄진 중식</x:v>
      </x:c>
      <x:c r="T30" s="22" t="n">
        <x:v>36.4302023</x:v>
      </x:c>
      <x:c r="U30" s="22" t="n">
        <x:v>127.4222194</x:v>
      </x:c>
    </x:row>
    <x:row r="31" ht="32" customHeight="1">
      <x:c r="A31" s="18" t="str">
        <x:v>pending</x:v>
      </x:c>
      <x:c r="B31" s="18" t="str">
        <x:v>대덕구</x:v>
      </x:c>
      <x:c r="C31" s="17" t="str">
        <x:v>한밭신화수산</x:v>
      </x:c>
      <x:c r="D31" s="17" t="str">
        <x:v>한식&gt;생선회</x:v>
      </x:c>
      <x:c r="E31" s="19" t="n">
        <x:v>58</x:v>
      </x:c>
      <x:c r="F31" s="17" t="str">
        <x:v>최근 12개월 블로그 100건</x:v>
      </x:c>
      <x:c r="G31" s="17" t="str">
        <x:v>대전광역시 대덕구 오정동 736</x:v>
      </x:c>
      <x:c r="H31" s="17" t="str">
        <x:v>대전광역시 대덕구 대전천북로 350</x:v>
      </x:c>
      <x:c r="I31" s="18" t="e">
        <x:f>HYPERLINK("https://search.naver.com/search.naver?where=blog&amp;query=%ED%95%9C%EB%B0%AD%EC%8B%A0%ED%99%94%EC%88%98%EC%82%B0+%EB%8C%80%EB%8D%95%EA%B5%AC","블로그 보기")</x:f>
        <x:v>HYPERLINK is not implemented. linkLocation=https://search.naver.com/search.naver?where=blog&amp;query=%ED%95%9C%EB%B0%AD%EC%8B%A0%ED%99%94%EC%88%98%EC%82%B0+%EB%8C%80%EB%8D%95%EA%B5%AC, friendlyName=블로그 보기</x:v>
      </x:c>
      <x:c r="J31" s="18" t="str"/>
      <x:c r="K31" s="18" t="str"/>
      <x:c r="L31" s="17" t="str"/>
      <x:c r="M31" s="20" t="n">
        <x:v>46220</x:v>
      </x:c>
      <x:c r="N31" s="21" t="n">
        <x:v>100</x:v>
      </x:c>
      <x:c r="O31" s="21" t="n">
        <x:v>91</x:v>
      </x:c>
      <x:c r="P31" s="21" t="n">
        <x:v>402</x:v>
      </x:c>
      <x:c r="Q31" s="21" t="n">
        <x:v>2</x:v>
      </x:c>
      <x:c r="R31" s="21" t="n">
        <x:v>1</x:v>
      </x:c>
      <x:c r="S31" s="17" t="str">
        <x:v>대덕구 해산물</x:v>
      </x:c>
      <x:c r="T31" s="22" t="n">
        <x:v>36.3561877</x:v>
      </x:c>
      <x:c r="U31" s="22" t="n">
        <x:v>127.4054721</x:v>
      </x:c>
    </x:row>
    <x:row r="32" ht="32" customHeight="1">
      <x:c r="A32" s="18" t="str">
        <x:v>pending</x:v>
      </x:c>
      <x:c r="B32" s="18" t="str">
        <x:v>대덕구</x:v>
      </x:c>
      <x:c r="C32" s="17" t="str">
        <x:v>김밥천국</x:v>
      </x:c>
      <x:c r="D32" s="17" t="str">
        <x:v>음식점&gt;분식</x:v>
      </x:c>
      <x:c r="E32" s="19" t="n">
        <x:v>57</x:v>
      </x:c>
      <x:c r="F32" s="17" t="str">
        <x:v>최근 12개월 블로그 16건</x:v>
      </x:c>
      <x:c r="G32" s="17" t="str">
        <x:v>대전광역시 대덕구 석봉동 309-11 김밥천국</x:v>
      </x:c>
      <x:c r="H32" s="17" t="str">
        <x:v>대전광역시 대덕구 대덕대로 1554 김밥천국</x:v>
      </x:c>
      <x:c r="I32" s="18" t="e">
        <x:f>HYPERLINK("https://search.naver.com/search.naver?where=blog&amp;query=%EA%B9%80%EB%B0%A5%EC%B2%9C%EA%B5%AD+%EB%8C%80%EB%8D%95%EA%B5%AC","블로그 보기")</x:f>
        <x:v>HYPERLINK is not implemented. linkLocation=https://search.naver.com/search.naver?where=blog&amp;query=%EA%B9%80%EB%B0%A5%EC%B2%9C%EA%B5%AD+%EB%8C%80%EB%8D%95%EA%B5%AC, friendlyName=블로그 보기</x:v>
      </x:c>
      <x:c r="J32" s="18" t="str"/>
      <x:c r="K32" s="18" t="str"/>
      <x:c r="L32" s="17" t="str"/>
      <x:c r="M32" s="20" t="n">
        <x:v>46217</x:v>
      </x:c>
      <x:c r="N32" s="21" t="n">
        <x:v>16</x:v>
      </x:c>
      <x:c r="O32" s="21" t="n">
        <x:v>92</x:v>
      </x:c>
      <x:c r="P32" s="21" t="n">
        <x:v>195</x:v>
      </x:c>
      <x:c r="Q32" s="21" t="n">
        <x:v>2</x:v>
      </x:c>
      <x:c r="R32" s="21" t="n">
        <x:v>1</x:v>
      </x:c>
      <x:c r="S32" s="17" t="str">
        <x:v>신탄진 분식</x:v>
      </x:c>
      <x:c r="T32" s="22" t="n">
        <x:v>36.449074</x:v>
      </x:c>
      <x:c r="U32" s="22" t="n">
        <x:v>127.4205347</x:v>
      </x:c>
    </x:row>
    <x:row r="33" ht="32" customHeight="1">
      <x:c r="A33" s="18" t="str">
        <x:v>pending</x:v>
      </x:c>
      <x:c r="B33" s="18" t="str">
        <x:v>대덕구</x:v>
      </x:c>
      <x:c r="C33" s="17" t="str">
        <x:v>동죽칼국수</x:v>
      </x:c>
      <x:c r="D33" s="17" t="str">
        <x:v>한식&gt;칼국수,만두</x:v>
      </x:c>
      <x:c r="E33" s="19" t="n">
        <x:v>57</x:v>
      </x:c>
      <x:c r="F33" s="17" t="str">
        <x:v>지역성: 칼국수; 최근 12개월 블로그 96건</x:v>
      </x:c>
      <x:c r="G33" s="17" t="str">
        <x:v>대전광역시 대덕구 목상동 148-6 동죽칼국수</x:v>
      </x:c>
      <x:c r="H33" s="17" t="str">
        <x:v>대전광역시 대덕구 대덕대로1458번길 23 동죽칼국수</x:v>
      </x:c>
      <x:c r="I33" s="18" t="e">
        <x:f>HYPERLINK("https://search.naver.com/search.naver?where=blog&amp;query=%EB%8F%99%EC%A3%BD%EC%B9%BC%EA%B5%AD%EC%88%98+%EB%8C%80%EB%8D%95%EA%B5%AC","블로그 보기")</x:f>
        <x:v>HYPERLINK is not implemented. linkLocation=https://search.naver.com/search.naver?where=blog&amp;query=%EB%8F%99%EC%A3%BD%EC%B9%BC%EA%B5%AD%EC%88%98+%EB%8C%80%EB%8D%95%EA%B5%AC, friendlyName=블로그 보기</x:v>
      </x:c>
      <x:c r="J33" s="18" t="str"/>
      <x:c r="K33" s="18" t="str"/>
      <x:c r="L33" s="17" t="str"/>
      <x:c r="M33" s="20" t="n">
        <x:v>46222</x:v>
      </x:c>
      <x:c r="N33" s="21" t="n">
        <x:v>96</x:v>
      </x:c>
      <x:c r="O33" s="21" t="n">
        <x:v>94</x:v>
      </x:c>
      <x:c r="P33" s="21" t="n">
        <x:v>464</x:v>
      </x:c>
      <x:c r="Q33" s="21" t="n">
        <x:v>1</x:v>
      </x:c>
      <x:c r="R33" s="21" t="n">
        <x:v>0</x:v>
      </x:c>
      <x:c r="S33" s="17" t="str">
        <x:v>신탄진 칼국수</x:v>
      </x:c>
      <x:c r="T33" s="22" t="n">
        <x:v>36.4482135</x:v>
      </x:c>
      <x:c r="U33" s="22" t="n">
        <x:v>127.4114304</x:v>
      </x:c>
    </x:row>
    <x:row r="34" ht="32" customHeight="1">
      <x:c r="A34" s="18" t="str">
        <x:v>pending</x:v>
      </x:c>
      <x:c r="B34" s="18" t="str">
        <x:v>대덕구</x:v>
      </x:c>
      <x:c r="C34" s="17" t="str">
        <x:v>청년다방 대전송촌점</x:v>
      </x:c>
      <x:c r="D34" s="17" t="str">
        <x:v>음식점&gt;분식</x:v>
      </x:c>
      <x:c r="E34" s="19" t="n">
        <x:v>57</x:v>
      </x:c>
      <x:c r="F34" s="17" t="str">
        <x:v>지역성: 대전; 최근 12개월 블로그 100건</x:v>
      </x:c>
      <x:c r="G34" s="17" t="str">
        <x:v>대전광역시 대덕구 송촌동 449-6</x:v>
      </x:c>
      <x:c r="H34" s="17" t="str">
        <x:v>대전광역시 대덕구 송촌북로36번길 11</x:v>
      </x:c>
      <x:c r="I34" s="18" t="e">
        <x:f>HYPERLINK("https://search.naver.com/search.naver?where=blog&amp;query=%EC%B2%AD%EB%85%84%EB%8B%A4%EB%B0%A9+%EB%8C%80%EC%A0%84%EC%86%A1%EC%B4%8C%EC%A0%90+%EB%8C%80%EB%8D%95%EA%B5%AC","블로그 보기")</x:f>
        <x:v>HYPERLINK is not implemented. linkLocation=https://search.naver.com/search.naver?where=blog&amp;query=%EC%B2%AD%EB%85%84%EB%8B%A4%EB%B0%A9+%EB%8C%80%EC%A0%84%EC%86%A1%EC%B4%8C%EC%A0%90+%EB%8C%80%EB%8D%95%EA%B5%AC, friendlyName=블로그 보기</x:v>
      </x:c>
      <x:c r="J34" s="18" t="e">
        <x:f>HYPERLINK("http://www.youngdabang.com/","업체 보기")</x:f>
        <x:v>HYPERLINK is not implemented. linkLocation=http://www.youngdabang.com/, friendlyName=업체 보기</x:v>
      </x:c>
      <x:c r="K34" s="18" t="str"/>
      <x:c r="L34" s="17" t="str"/>
      <x:c r="M34" s="20" t="n">
        <x:v>46220</x:v>
      </x:c>
      <x:c r="N34" s="21" t="n">
        <x:v>100</x:v>
      </x:c>
      <x:c r="O34" s="21" t="n">
        <x:v>95</x:v>
      </x:c>
      <x:c r="P34" s="21" t="n">
        <x:v>487</x:v>
      </x:c>
      <x:c r="Q34" s="21" t="n">
        <x:v>1</x:v>
      </x:c>
      <x:c r="R34" s="21" t="n">
        <x:v>0</x:v>
      </x:c>
      <x:c r="S34" s="17" t="str">
        <x:v>대덕구 분식</x:v>
      </x:c>
      <x:c r="T34" s="22" t="n">
        <x:v>36.365813</x:v>
      </x:c>
      <x:c r="U34" s="22" t="n">
        <x:v>127.4366851</x:v>
      </x:c>
    </x:row>
    <x:row r="35" ht="32" customHeight="1">
      <x:c r="A35" s="18" t="str">
        <x:v>pending</x:v>
      </x:c>
      <x:c r="B35" s="18" t="str">
        <x:v>대덕구</x:v>
      </x:c>
      <x:c r="C35" s="17" t="str">
        <x:v>홍굴이 부추손칼국수</x:v>
      </x:c>
      <x:c r="D35" s="17" t="str">
        <x:v>한식&gt;칼국수,만두</x:v>
      </x:c>
      <x:c r="E35" s="19" t="n">
        <x:v>57</x:v>
      </x:c>
      <x:c r="F35" s="17" t="str">
        <x:v>지역성: 칼국수; 최근 12개월 블로그 100건</x:v>
      </x:c>
      <x:c r="G35" s="17" t="str">
        <x:v>대전광역시 대덕구 송촌동 503-7</x:v>
      </x:c>
      <x:c r="H35" s="17" t="str">
        <x:v>대전광역시 대덕구 선비마을로5번길 3</x:v>
      </x:c>
      <x:c r="I35" s="18" t="e">
        <x:f>HYPERLINK("https://search.naver.com/search.naver?where=blog&amp;query=%ED%99%8D%EA%B5%B4%EC%9D%B4+%EB%B6%80%EC%B6%94%EC%86%90%EC%B9%BC%EA%B5%AD%EC%88%98+%EB%8C%80%EB%8D%95%EA%B5%AC","블로그 보기")</x:f>
        <x:v>HYPERLINK is not implemented. linkLocation=https://search.naver.com/search.naver?where=blog&amp;query=%ED%99%8D%EA%B5%B4%EC%9D%B4+%EB%B6%80%EC%B6%94%EC%86%90%EC%B9%BC%EA%B5%AD%EC%88%98+%EB%8C%80%EB%8D%95%EA%B5%AC, friendlyName=블로그 보기</x:v>
      </x:c>
      <x:c r="J35" s="18" t="str"/>
      <x:c r="K35" s="18" t="str"/>
      <x:c r="L35" s="17" t="str"/>
      <x:c r="M35" s="20" t="n">
        <x:v>46223</x:v>
      </x:c>
      <x:c r="N35" s="21" t="n">
        <x:v>100</x:v>
      </x:c>
      <x:c r="O35" s="21" t="n">
        <x:v>93</x:v>
      </x:c>
      <x:c r="P35" s="21" t="n">
        <x:v>560</x:v>
      </x:c>
      <x:c r="Q35" s="21" t="n">
        <x:v>1</x:v>
      </x:c>
      <x:c r="R35" s="21" t="n">
        <x:v>0</x:v>
      </x:c>
      <x:c r="S35" s="17" t="str">
        <x:v>대덕구 칼국수</x:v>
      </x:c>
      <x:c r="T35" s="22" t="n">
        <x:v>36.3618774</x:v>
      </x:c>
      <x:c r="U35" s="22" t="n">
        <x:v>127.4456674</x:v>
      </x:c>
    </x:row>
    <x:row r="36" ht="32" customHeight="1">
      <x:c r="A36" s="18" t="str">
        <x:v>pending</x:v>
      </x:c>
      <x:c r="B36" s="18" t="str">
        <x:v>대덕구</x:v>
      </x:c>
      <x:c r="C36" s="17" t="str">
        <x:v>황금칼국수</x:v>
      </x:c>
      <x:c r="D36" s="17" t="str">
        <x:v>한식&gt;칼국수,만두</x:v>
      </x:c>
      <x:c r="E36" s="19" t="n">
        <x:v>57</x:v>
      </x:c>
      <x:c r="F36" s="17" t="str">
        <x:v>지역성: 칼국수; 최근 12개월 블로그 100건</x:v>
      </x:c>
      <x:c r="G36" s="17" t="str">
        <x:v>대전광역시 대덕구 읍내동 327-3 황금칼국수</x:v>
      </x:c>
      <x:c r="H36" s="17" t="str">
        <x:v>대전광역시 대덕구 대전로 1357 황금칼국수</x:v>
      </x:c>
      <x:c r="I36" s="18" t="e">
        <x:f>HYPERLINK("https://search.naver.com/search.naver?where=blog&amp;query=%ED%99%A9%EA%B8%88%EC%B9%BC%EA%B5%AD%EC%88%98+%EB%8C%80%EB%8D%95%EA%B5%AC","블로그 보기")</x:f>
        <x:v>HYPERLINK is not implemented. linkLocation=https://search.naver.com/search.naver?where=blog&amp;query=%ED%99%A9%EA%B8%88%EC%B9%BC%EA%B5%AD%EC%88%98+%EB%8C%80%EB%8D%95%EA%B5%AC, friendlyName=블로그 보기</x:v>
      </x:c>
      <x:c r="J36" s="18" t="e">
        <x:f>HYPERLINK("https://www.instagram.com/hwang_geum_kalgugsu","업체 보기")</x:f>
        <x:v>HYPERLINK is not implemented. linkLocation=https://www.instagram.com/hwang_geum_kalgugsu, friendlyName=업체 보기</x:v>
      </x:c>
      <x:c r="K36" s="18" t="str"/>
      <x:c r="L36" s="17" t="str"/>
      <x:c r="M36" s="20" t="n">
        <x:v>46222</x:v>
      </x:c>
      <x:c r="N36" s="21" t="n">
        <x:v>100</x:v>
      </x:c>
      <x:c r="O36" s="21" t="n">
        <x:v>86</x:v>
      </x:c>
      <x:c r="P36" s="21" t="n">
        <x:v>601</x:v>
      </x:c>
      <x:c r="Q36" s="21" t="n">
        <x:v>1</x:v>
      </x:c>
      <x:c r="R36" s="21" t="n">
        <x:v>0</x:v>
      </x:c>
      <x:c r="S36" s="17" t="str">
        <x:v>대덕구 두부두루치기</x:v>
      </x:c>
      <x:c r="T36" s="22" t="n">
        <x:v>36.3749451</x:v>
      </x:c>
      <x:c r="U36" s="22" t="n">
        <x:v>127.4200318</x:v>
      </x:c>
    </x:row>
    <x:row r="37" ht="32" customHeight="1">
      <x:c r="A37" s="18" t="str">
        <x:v>pending</x:v>
      </x:c>
      <x:c r="B37" s="18" t="str">
        <x:v>대덕구</x:v>
      </x:c>
      <x:c r="C37" s="17" t="str">
        <x:v>일품돼지국밥 대전IC점</x:v>
      </x:c>
      <x:c r="D37" s="17" t="str">
        <x:v>한식&gt;국밥</x:v>
      </x:c>
      <x:c r="E37" s="19" t="n">
        <x:v>56</x:v>
      </x:c>
      <x:c r="F37" s="17" t="str">
        <x:v>지역성: 대전; 최근 12개월 블로그 100건</x:v>
      </x:c>
      <x:c r="G37" s="17" t="str">
        <x:v>대전광역시 대덕구 비래동 557-1 1층 일품돼지국밥 대전IC점</x:v>
      </x:c>
      <x:c r="H37" s="17" t="str">
        <x:v>대전광역시 대덕구 동서대로 1770 1층 일품돼지국밥 대전IC점</x:v>
      </x:c>
      <x:c r="I37" s="18" t="e">
        <x:f>HYPERLINK("https://search.naver.com/search.naver?where=blog&amp;query=%EC%9D%BC%ED%92%88%EB%8F%BC%EC%A7%80%EA%B5%AD%EB%B0%A5+%EB%8C%80%EC%A0%84IC%EC%A0%90+%EB%8C%80%EB%8D%95%EA%B5%AC","블로그 보기")</x:f>
        <x:v>HYPERLINK is not implemented. linkLocation=https://search.naver.com/search.naver?where=blog&amp;query=%EC%9D%BC%ED%92%88%EB%8F%BC%EC%A7%80%EA%B5%AD%EB%B0%A5+%EB%8C%80%EC%A0%84IC%EC%A0%90+%EB%8C%80%EB%8D%95%EA%B5%AC, friendlyName=블로그 보기</x:v>
      </x:c>
      <x:c r="J37" s="18" t="str"/>
      <x:c r="K37" s="18" t="str"/>
      <x:c r="L37" s="17" t="str"/>
      <x:c r="M37" s="20" t="n">
        <x:v>46220</x:v>
      </x:c>
      <x:c r="N37" s="21" t="n">
        <x:v>100</x:v>
      </x:c>
      <x:c r="O37" s="21" t="n">
        <x:v>80</x:v>
      </x:c>
      <x:c r="P37" s="21" t="n">
        <x:v>284</x:v>
      </x:c>
      <x:c r="Q37" s="21" t="n">
        <x:v>1</x:v>
      </x:c>
      <x:c r="R37" s="21" t="n">
        <x:v>0</x:v>
      </x:c>
      <x:c r="S37" s="17" t="str">
        <x:v>대덕구 국밥</x:v>
      </x:c>
      <x:c r="T37" s="22" t="n">
        <x:v>36.3534877</x:v>
      </x:c>
      <x:c r="U37" s="22" t="n">
        <x:v>127.4439993</x:v>
      </x:c>
    </x:row>
    <x:row r="38" ht="32" customHeight="1">
      <x:c r="A38" s="18" t="str">
        <x:v>pending</x:v>
      </x:c>
      <x:c r="B38" s="18" t="str">
        <x:v>대덕구</x:v>
      </x:c>
      <x:c r="C38" s="17" t="str">
        <x:v>포대포소곱창구이</x:v>
      </x:c>
      <x:c r="D38" s="17" t="str">
        <x:v>한식&gt;곱창,막창,양</x:v>
      </x:c>
      <x:c r="E38" s="19" t="n">
        <x:v>56</x:v>
      </x:c>
      <x:c r="F38" s="17" t="str">
        <x:v>최근 12개월 블로그 100건</x:v>
      </x:c>
      <x:c r="G38" s="17" t="str">
        <x:v>대전광역시 대덕구 송촌동 548-20</x:v>
      </x:c>
      <x:c r="H38" s="17" t="str">
        <x:v>대전광역시 대덕구 선비마을로 22</x:v>
      </x:c>
      <x:c r="I38" s="18" t="e">
        <x:f>HYPERLINK("https://search.naver.com/search.naver?where=blog&amp;query=%ED%8F%AC%EB%8C%80%ED%8F%AC%EC%86%8C%EA%B3%B1%EC%B0%BD%EA%B5%AC%EC%9D%B4+%EB%8C%80%EB%8D%95%EA%B5%AC","블로그 보기")</x:f>
        <x:v>HYPERLINK is not implemented. linkLocation=https://search.naver.com/search.naver?where=blog&amp;query=%ED%8F%AC%EB%8C%80%ED%8F%AC%EC%86%8C%EA%B3%B1%EC%B0%BD%EA%B5%AC%EC%9D%B4+%EB%8C%80%EB%8D%95%EA%B5%AC, friendlyName=블로그 보기</x:v>
      </x:c>
      <x:c r="J38" s="18" t="str"/>
      <x:c r="K38" s="18" t="str"/>
      <x:c r="L38" s="17" t="str"/>
      <x:c r="M38" s="20" t="n">
        <x:v>46222</x:v>
      </x:c>
      <x:c r="N38" s="21" t="n">
        <x:v>100</x:v>
      </x:c>
      <x:c r="O38" s="21" t="n">
        <x:v>92</x:v>
      </x:c>
      <x:c r="P38" s="21" t="n">
        <x:v>1303</x:v>
      </x:c>
      <x:c r="Q38" s="21" t="n">
        <x:v>1</x:v>
      </x:c>
      <x:c r="R38" s="21" t="n">
        <x:v>1</x:v>
      </x:c>
      <x:c r="S38" s="17" t="str">
        <x:v>대덕구 고기</x:v>
      </x:c>
      <x:c r="T38" s="22" t="n">
        <x:v>36.3628182</x:v>
      </x:c>
      <x:c r="U38" s="22" t="n">
        <x:v>127.4471191</x:v>
      </x:c>
    </x:row>
    <x:row r="39" ht="32" customHeight="1">
      <x:c r="A39" s="18" t="str">
        <x:v>pending</x:v>
      </x:c>
      <x:c r="B39" s="18" t="str">
        <x:v>대덕구</x:v>
      </x:c>
      <x:c r="C39" s="17" t="str">
        <x:v>미카도스시 대전신탄진점</x:v>
      </x:c>
      <x:c r="D39" s="17" t="str">
        <x:v>음식점&gt;일식&gt;초밥,롤</x:v>
      </x:c>
      <x:c r="E39" s="19" t="n">
        <x:v>55</x:v>
      </x:c>
      <x:c r="F39" s="17" t="str">
        <x:v>지역성: 대전; 최근 12개월 블로그 65건</x:v>
      </x:c>
      <x:c r="G39" s="17" t="str">
        <x:v>대전광역시 대덕구 신탄진동 121-33 103호</x:v>
      </x:c>
      <x:c r="H39" s="17" t="str">
        <x:v>대전광역시 대덕구 대청로 12 103호</x:v>
      </x:c>
      <x:c r="I39" s="18" t="e">
        <x:f>HYPERLINK("https://search.naver.com/search.naver?where=blog&amp;query=%EB%AF%B8%EC%B9%B4%EB%8F%84%EC%8A%A4%EC%8B%9C+%EB%8C%80%EC%A0%84%EC%8B%A0%ED%83%84%EC%A7%84%EC%A0%90+%EB%8C%80%EB%8D%95%EA%B5%AC","블로그 보기")</x:f>
        <x:v>HYPERLINK is not implemented. linkLocation=https://search.naver.com/search.naver?where=blog&amp;query=%EB%AF%B8%EC%B9%B4%EB%8F%84%EC%8A%A4%EC%8B%9C+%EB%8C%80%EC%A0%84%EC%8B%A0%ED%83%84%EC%A7%84%EC%A0%90+%EB%8C%80%EB%8D%95%EA%B5%AC, friendlyName=블로그 보기</x:v>
      </x:c>
      <x:c r="J39" s="18" t="e">
        <x:f>HYPERLINK("http://mikadosushi.co.kr/","업체 보기")</x:f>
        <x:v>HYPERLINK is not implemented. linkLocation=http://mikadosushi.co.kr/, friendlyName=업체 보기</x:v>
      </x:c>
      <x:c r="K39" s="18" t="str"/>
      <x:c r="L39" s="17" t="str"/>
      <x:c r="M39" s="20" t="n">
        <x:v>46220</x:v>
      </x:c>
      <x:c r="N39" s="21" t="n">
        <x:v>65</x:v>
      </x:c>
      <x:c r="O39" s="21" t="n">
        <x:v>43</x:v>
      </x:c>
      <x:c r="P39" s="21" t="n">
        <x:v>116</x:v>
      </x:c>
      <x:c r="Q39" s="21" t="n">
        <x:v>1</x:v>
      </x:c>
      <x:c r="R39" s="21" t="n">
        <x:v>0</x:v>
      </x:c>
      <x:c r="S39" s="17" t="str">
        <x:v>신탄진 일식</x:v>
      </x:c>
      <x:c r="T39" s="22" t="n">
        <x:v>36.4513058</x:v>
      </x:c>
      <x:c r="U39" s="22" t="n">
        <x:v>127.4301465</x:v>
      </x:c>
    </x:row>
    <x:row r="40" ht="32" customHeight="1">
      <x:c r="A40" s="18" t="str">
        <x:v>pending</x:v>
      </x:c>
      <x:c r="B40" s="18" t="str">
        <x:v>대덕구</x:v>
      </x:c>
      <x:c r="C40" s="17" t="str">
        <x:v>상하이양꼬치</x:v>
      </x:c>
      <x:c r="D40" s="17" t="str">
        <x:v>중식&gt;양꼬치</x:v>
      </x:c>
      <x:c r="E40" s="19" t="n">
        <x:v>55</x:v>
      </x:c>
      <x:c r="F40" s="17" t="str">
        <x:v>최근 12개월 블로그 100건</x:v>
      </x:c>
      <x:c r="G40" s="17" t="str">
        <x:v>대전광역시 대덕구 송촌동 456-12</x:v>
      </x:c>
      <x:c r="H40" s="17" t="str">
        <x:v>대전광역시 대덕구 송촌북로16번길 43</x:v>
      </x:c>
      <x:c r="I40" s="18" t="e">
        <x:f>HYPERLINK("https://search.naver.com/search.naver?where=blog&amp;query=%EC%83%81%ED%95%98%EC%9D%B4%EC%96%91%EA%BC%AC%EC%B9%98+%EB%8C%80%EB%8D%95%EA%B5%AC","블로그 보기")</x:f>
        <x:v>HYPERLINK is not implemented. linkLocation=https://search.naver.com/search.naver?where=blog&amp;query=%EC%83%81%ED%95%98%EC%9D%B4%EC%96%91%EA%BC%AC%EC%B9%98+%EB%8C%80%EB%8D%95%EA%B5%AC, friendlyName=블로그 보기</x:v>
      </x:c>
      <x:c r="J40" s="18" t="str"/>
      <x:c r="K40" s="18" t="str"/>
      <x:c r="L40" s="17" t="str"/>
      <x:c r="M40" s="20" t="n">
        <x:v>46171</x:v>
      </x:c>
      <x:c r="N40" s="21" t="n">
        <x:v>100</x:v>
      </x:c>
      <x:c r="O40" s="21" t="n">
        <x:v>92</x:v>
      </x:c>
      <x:c r="P40" s="21" t="n">
        <x:v>568</x:v>
      </x:c>
      <x:c r="Q40" s="21" t="n">
        <x:v>1</x:v>
      </x:c>
      <x:c r="R40" s="21" t="n">
        <x:v>1</x:v>
      </x:c>
      <x:c r="S40" s="17" t="str">
        <x:v>대덕구 중식</x:v>
      </x:c>
      <x:c r="T40" s="22" t="n">
        <x:v>36.3646573</x:v>
      </x:c>
      <x:c r="U40" s="22" t="n">
        <x:v>127.4387897</x:v>
      </x:c>
    </x:row>
    <x:row r="41" ht="32" customHeight="1">
      <x:c r="A41" s="18" t="str">
        <x:v>pending</x:v>
      </x:c>
      <x:c r="B41" s="18" t="str">
        <x:v>대덕구</x:v>
      </x:c>
      <x:c r="C41" s="17" t="str">
        <x:v>선양갈비</x:v>
      </x:c>
      <x:c r="D41" s="17" t="str">
        <x:v>한식&gt;돼지고기구이</x:v>
      </x:c>
      <x:c r="E41" s="19" t="n">
        <x:v>55</x:v>
      </x:c>
      <x:c r="F41" s="17" t="str">
        <x:v>최근 12개월 블로그 100건</x:v>
      </x:c>
      <x:c r="G41" s="17" t="str">
        <x:v>대전광역시 대덕구 송촌동 473-3 1층</x:v>
      </x:c>
      <x:c r="H41" s="17" t="str">
        <x:v>대전광역시 대덕구 송촌북로4번길 41-19 1층</x:v>
      </x:c>
      <x:c r="I41" s="18" t="e">
        <x:f>HYPERLINK("https://search.naver.com/search.naver?where=blog&amp;query=%EC%84%A0%EC%96%91%EA%B0%88%EB%B9%84+%EB%8C%80%EB%8D%95%EA%B5%AC","블로그 보기")</x:f>
        <x:v>HYPERLINK is not implemented. linkLocation=https://search.naver.com/search.naver?where=blog&amp;query=%EC%84%A0%EC%96%91%EA%B0%88%EB%B9%84+%EB%8C%80%EB%8D%95%EA%B5%AC, friendlyName=블로그 보기</x:v>
      </x:c>
      <x:c r="J41" s="18" t="e">
        <x:f>HYPERLINK("https://www.instagram.com/sunyangpork","업체 보기")</x:f>
        <x:v>HYPERLINK is not implemented. linkLocation=https://www.instagram.com/sunyangpork, friendlyName=업체 보기</x:v>
      </x:c>
      <x:c r="K41" s="18" t="str"/>
      <x:c r="L41" s="17" t="str"/>
      <x:c r="M41" s="20" t="n">
        <x:v>46220</x:v>
      </x:c>
      <x:c r="N41" s="21" t="n">
        <x:v>100</x:v>
      </x:c>
      <x:c r="O41" s="21" t="n">
        <x:v>97</x:v>
      </x:c>
      <x:c r="P41" s="21" t="n">
        <x:v>244</x:v>
      </x:c>
      <x:c r="Q41" s="21" t="n">
        <x:v>2</x:v>
      </x:c>
      <x:c r="R41" s="21" t="n">
        <x:v>0</x:v>
      </x:c>
      <x:c r="S41" s="17" t="str">
        <x:v>대덕구 맛집 | 대덕구 한식</x:v>
      </x:c>
      <x:c r="T41" s="22" t="n">
        <x:v>36.36384</x:v>
      </x:c>
      <x:c r="U41" s="22" t="n">
        <x:v>127.4389688</x:v>
      </x:c>
    </x:row>
    <x:row r="42" ht="32" customHeight="1">
      <x:c r="A42" s="18" t="str">
        <x:v>pending</x:v>
      </x:c>
      <x:c r="B42" s="18" t="str">
        <x:v>대덕구</x:v>
      </x:c>
      <x:c r="C42" s="17" t="str">
        <x:v>특벼리각벼리 양평해장국</x:v>
      </x:c>
      <x:c r="D42" s="17" t="str">
        <x:v>한식&gt;해장국</x:v>
      </x:c>
      <x:c r="E42" s="19" t="n">
        <x:v>55</x:v>
      </x:c>
      <x:c r="F42" s="17" t="str">
        <x:v>최근 12개월 블로그 27건</x:v>
      </x:c>
      <x:c r="G42" s="17" t="str">
        <x:v>대전광역시 대덕구 신탄진동 156-1 1층</x:v>
      </x:c>
      <x:c r="H42" s="17" t="str">
        <x:v>대전광역시 대덕구 신탄진동로 24 1층</x:v>
      </x:c>
      <x:c r="I42" s="18" t="e">
        <x:f>HYPERLINK("https://search.naver.com/search.naver?where=blog&amp;query=%ED%8A%B9%EB%B2%BC%EB%A6%AC%EA%B0%81%EB%B2%BC%EB%A6%AC+%EC%96%91%ED%8F%89%ED%95%B4%EC%9E%A5%EA%B5%AD+%EC%8B%A0%ED%83%84%EC%A7%84%EB%8F%99","블로그 보기")</x:f>
        <x:v>HYPERLINK is not implemented. linkLocation=https://search.naver.com/search.naver?where=blog&amp;query=%ED%8A%B9%EB%B2%BC%EB%A6%AC%EA%B0%81%EB%B2%BC%EB%A6%AC+%EC%96%91%ED%8F%89%ED%95%B4%EC%9E%A5%EA%B5%AD+%EC%8B%A0%ED%83%84%EC%A7%84%EB%8F%99, friendlyName=블로그 보기</x:v>
      </x:c>
      <x:c r="J42" s="18" t="str"/>
      <x:c r="K42" s="18" t="str"/>
      <x:c r="L42" s="17" t="str"/>
      <x:c r="M42" s="20" t="n">
        <x:v>46108</x:v>
      </x:c>
      <x:c r="N42" s="21" t="n">
        <x:v>27</x:v>
      </x:c>
      <x:c r="O42" s="21" t="n">
        <x:v>32</x:v>
      </x:c>
      <x:c r="P42" s="21" t="n">
        <x:v>37</x:v>
      </x:c>
      <x:c r="Q42" s="21" t="n">
        <x:v>2</x:v>
      </x:c>
      <x:c r="R42" s="21" t="n">
        <x:v>1</x:v>
      </x:c>
      <x:c r="S42" s="17" t="str">
        <x:v>신탄진 삼계탕</x:v>
      </x:c>
      <x:c r="T42" s="22" t="n">
        <x:v>36.4476815</x:v>
      </x:c>
      <x:c r="U42" s="22" t="n">
        <x:v>127.4321837</x:v>
      </x:c>
    </x:row>
    <x:row r="43" ht="32" customHeight="1">
      <x:c r="A43" s="18" t="str">
        <x:v>pending</x:v>
      </x:c>
      <x:c r="B43" s="18" t="str">
        <x:v>대덕구</x:v>
      </x:c>
      <x:c r="C43" s="17" t="str">
        <x:v>더구</x:v>
      </x:c>
      <x:c r="D43" s="17" t="str">
        <x:v>한식&gt;백숙,삼계탕</x:v>
      </x:c>
      <x:c r="E43" s="19" t="n">
        <x:v>54</x:v>
      </x:c>
      <x:c r="F43" s="17" t="str">
        <x:v>최근 12개월 블로그 100건</x:v>
      </x:c>
      <x:c r="G43" s="17" t="str">
        <x:v>대전광역시 대덕구 목상동 867-3</x:v>
      </x:c>
      <x:c r="H43" s="17" t="str">
        <x:v>대전광역시 대덕구 대덕대로1448번길 123</x:v>
      </x:c>
      <x:c r="I43" s="18" t="e">
        <x:f>HYPERLINK("https://search.naver.com/search.naver?where=blog&amp;query=%EB%8D%94%EA%B5%AC+%EB%8C%80%EB%8D%95%EA%B5%AC","블로그 보기")</x:f>
        <x:v>HYPERLINK is not implemented. linkLocation=https://search.naver.com/search.naver?where=blog&amp;query=%EB%8D%94%EA%B5%AC+%EB%8C%80%EB%8D%95%EA%B5%AC, friendlyName=블로그 보기</x:v>
      </x:c>
      <x:c r="J43" s="18" t="str"/>
      <x:c r="K43" s="18" t="str"/>
      <x:c r="L43" s="17" t="str"/>
      <x:c r="M43" s="20" t="n">
        <x:v>46223</x:v>
      </x:c>
      <x:c r="N43" s="21" t="n">
        <x:v>100</x:v>
      </x:c>
      <x:c r="O43" s="21" t="n">
        <x:v>81</x:v>
      </x:c>
      <x:c r="P43" s="21" t="n">
        <x:v>74869</x:v>
      </x:c>
      <x:c r="Q43" s="21" t="n">
        <x:v>1</x:v>
      </x:c>
      <x:c r="R43" s="21" t="n">
        <x:v>0</x:v>
      </x:c>
      <x:c r="S43" s="17" t="str">
        <x:v>신탄진 삼계탕</x:v>
      </x:c>
      <x:c r="T43" s="22" t="n">
        <x:v>36.4427212</x:v>
      </x:c>
      <x:c r="U43" s="22" t="n">
        <x:v>127.4117681</x:v>
      </x:c>
    </x:row>
    <x:row r="44" ht="32" customHeight="1">
      <x:c r="A44" s="18" t="str">
        <x:v>pending</x:v>
      </x:c>
      <x:c r="B44" s="18" t="str">
        <x:v>대덕구</x:v>
      </x:c>
      <x:c r="C44" s="17" t="str">
        <x:v>망골고개식당</x:v>
      </x:c>
      <x:c r="D44" s="17" t="str">
        <x:v>한식&gt;칼국수,만두</x:v>
      </x:c>
      <x:c r="E44" s="19" t="n">
        <x:v>54</x:v>
      </x:c>
      <x:c r="F44" s="17" t="str">
        <x:v>지역성: 칼국수; 최근 12개월 블로그 8건</x:v>
      </x:c>
      <x:c r="G44" s="17" t="str">
        <x:v>대전광역시 대덕구 석봉동 309-23</x:v>
      </x:c>
      <x:c r="H44" s="17" t="str">
        <x:v>대전광역시 대덕구 석봉로3번길 41</x:v>
      </x:c>
      <x:c r="I44" s="18" t="e">
        <x:f>HYPERLINK("https://search.naver.com/search.naver?where=blog&amp;query=%EB%A7%9D%EA%B3%A8%EA%B3%A0%EA%B0%9C%EC%8B%9D%EB%8B%B9+%EB%8C%80%EB%8D%95%EA%B5%AC","블로그 보기")</x:f>
        <x:v>HYPERLINK is not implemented. linkLocation=https://search.naver.com/search.naver?where=blog&amp;query=%EB%A7%9D%EA%B3%A8%EA%B3%A0%EA%B0%9C%EC%8B%9D%EB%8B%B9+%EB%8C%80%EB%8D%95%EA%B5%AC, friendlyName=블로그 보기</x:v>
      </x:c>
      <x:c r="J44" s="18" t="str"/>
      <x:c r="K44" s="18" t="str"/>
      <x:c r="L44" s="17" t="str"/>
      <x:c r="M44" s="20" t="n">
        <x:v>46193</x:v>
      </x:c>
      <x:c r="N44" s="21" t="n">
        <x:v>8</x:v>
      </x:c>
      <x:c r="O44" s="21" t="n">
        <x:v>64</x:v>
      </x:c>
      <x:c r="P44" s="21" t="n">
        <x:v>85</x:v>
      </x:c>
      <x:c r="Q44" s="21" t="n">
        <x:v>1</x:v>
      </x:c>
      <x:c r="R44" s="21" t="n">
        <x:v>0</x:v>
      </x:c>
      <x:c r="S44" s="17" t="str">
        <x:v>신탄진 칼국수</x:v>
      </x:c>
      <x:c r="T44" s="22" t="n">
        <x:v>36.4488191</x:v>
      </x:c>
      <x:c r="U44" s="22" t="n">
        <x:v>127.4212756</x:v>
      </x:c>
    </x:row>
    <x:row r="45" ht="32" customHeight="1">
      <x:c r="A45" s="18" t="str">
        <x:v>pending</x:v>
      </x:c>
      <x:c r="B45" s="18" t="str">
        <x:v>대덕구</x:v>
      </x:c>
      <x:c r="C45" s="17" t="str">
        <x:v>석봉튀김 떡볶이 신탄진점</x:v>
      </x:c>
      <x:c r="D45" s="17" t="str">
        <x:v>분식&gt;종합분식</x:v>
      </x:c>
      <x:c r="E45" s="19" t="n">
        <x:v>54</x:v>
      </x:c>
      <x:c r="F45" s="17" t="str">
        <x:v>최근 12개월 블로그 71건</x:v>
      </x:c>
      <x:c r="G45" s="17" t="str">
        <x:v>대전광역시 대덕구 석봉동 188-19 101호</x:v>
      </x:c>
      <x:c r="H45" s="17" t="str">
        <x:v>대전광역시 대덕구 석봉로37번길 18 101호</x:v>
      </x:c>
      <x:c r="I45" s="18" t="e">
        <x:f>HYPERLINK("https://search.naver.com/search.naver?where=blog&amp;query=%EC%84%9D%EB%B4%89%ED%8A%80%EA%B9%80+%EB%96%A1%EB%B3%B6%EC%9D%B4+%EC%8B%A0%ED%83%84%EC%A7%84%EC%A0%90+%EB%8C%80%EB%8D%95%EA%B5%AC","블로그 보기")</x:f>
        <x:v>HYPERLINK is not implemented. linkLocation=https://search.naver.com/search.naver?where=blog&amp;query=%EC%84%9D%EB%B4%89%ED%8A%80%EA%B9%80+%EB%96%A1%EB%B3%B6%EC%9D%B4+%EC%8B%A0%ED%83%84%EC%A7%84%EC%A0%90+%EB%8C%80%EB%8D%95%EA%B5%AC, friendlyName=블로그 보기</x:v>
      </x:c>
      <x:c r="J45" s="18" t="e">
        <x:f>HYPERLINK("https://blog.naver.com/kichanbok","업체 보기")</x:f>
        <x:v>HYPERLINK is not implemented. linkLocation=https://blog.naver.com/kichanbok, friendlyName=업체 보기</x:v>
      </x:c>
      <x:c r="K45" s="18" t="str"/>
      <x:c r="L45" s="17" t="str"/>
      <x:c r="M45" s="20" t="n">
        <x:v>46223</x:v>
      </x:c>
      <x:c r="N45" s="21" t="n">
        <x:v>71</x:v>
      </x:c>
      <x:c r="O45" s="21" t="n">
        <x:v>80</x:v>
      </x:c>
      <x:c r="P45" s="21" t="n">
        <x:v>211</x:v>
      </x:c>
      <x:c r="Q45" s="21" t="n">
        <x:v>2</x:v>
      </x:c>
      <x:c r="R45" s="21" t="n">
        <x:v>0</x:v>
      </x:c>
      <x:c r="S45" s="17" t="str">
        <x:v>대덕구 분식 | 신탄진 분식</x:v>
      </x:c>
      <x:c r="T45" s="22" t="n">
        <x:v>36.4481747</x:v>
      </x:c>
      <x:c r="U45" s="22" t="n">
        <x:v>127.4260431</x:v>
      </x:c>
    </x:row>
    <x:row r="46" ht="32" customHeight="1">
      <x:c r="A46" s="18" t="str">
        <x:v>pending</x:v>
      </x:c>
      <x:c r="B46" s="18" t="str">
        <x:v>대덕구</x:v>
      </x:c>
      <x:c r="C46" s="17" t="str">
        <x:v>신탄면옥</x:v>
      </x:c>
      <x:c r="D46" s="17" t="str">
        <x:v>한식&gt;냉면</x:v>
      </x:c>
      <x:c r="E46" s="19" t="n">
        <x:v>54</x:v>
      </x:c>
      <x:c r="F46" s="17" t="str">
        <x:v>최근 12개월 블로그 89건</x:v>
      </x:c>
      <x:c r="G46" s="17" t="str">
        <x:v>대전광역시 대덕구 덕암동 48-10</x:v>
      </x:c>
      <x:c r="H46" s="17" t="str">
        <x:v>대전광역시 대덕구 덕암북로104번길 74</x:v>
      </x:c>
      <x:c r="I46" s="18" t="e">
        <x:f>HYPERLINK("https://search.naver.com/search.naver?where=blog&amp;query=%EC%8B%A0%ED%83%84%EB%A9%B4%EC%98%A5+%EB%8C%80%EB%8D%95%EA%B5%AC","블로그 보기")</x:f>
        <x:v>HYPERLINK is not implemented. linkLocation=https://search.naver.com/search.naver?where=blog&amp;query=%EC%8B%A0%ED%83%84%EB%A9%B4%EC%98%A5+%EB%8C%80%EB%8D%95%EA%B5%AC, friendlyName=블로그 보기</x:v>
      </x:c>
      <x:c r="J46" s="18" t="e">
        <x:f>HYPERLINK("https://sintanmyounog.creatorlink.net/","업체 보기")</x:f>
        <x:v>HYPERLINK is not implemented. linkLocation=https://sintanmyounog.creatorlink.net/, friendlyName=업체 보기</x:v>
      </x:c>
      <x:c r="K46" s="18" t="str"/>
      <x:c r="L46" s="17" t="str"/>
      <x:c r="M46" s="20" t="n">
        <x:v>46220</x:v>
      </x:c>
      <x:c r="N46" s="21" t="n">
        <x:v>89</x:v>
      </x:c>
      <x:c r="O46" s="21" t="n">
        <x:v>69</x:v>
      </x:c>
      <x:c r="P46" s="21" t="n">
        <x:v>193</x:v>
      </x:c>
      <x:c r="Q46" s="21" t="n">
        <x:v>2</x:v>
      </x:c>
      <x:c r="R46" s="21" t="n">
        <x:v>0</x:v>
      </x:c>
      <x:c r="S46" s="17" t="str">
        <x:v>대덕구 냉면 | 신탄진 냉면</x:v>
      </x:c>
      <x:c r="T46" s="22" t="n">
        <x:v>36.4396524</x:v>
      </x:c>
      <x:c r="U46" s="22" t="n">
        <x:v>127.4266895</x:v>
      </x:c>
    </x:row>
    <x:row r="47" ht="32" customHeight="1">
      <x:c r="A47" s="18" t="str">
        <x:v>pending</x:v>
      </x:c>
      <x:c r="B47" s="18" t="str">
        <x:v>대덕구</x:v>
      </x:c>
      <x:c r="C47" s="17" t="str">
        <x:v>완미족발 송촌점</x:v>
      </x:c>
      <x:c r="D47" s="17" t="str">
        <x:v>음식점&gt;한식&gt;육류,고기요리&gt;족발,보쌈</x:v>
      </x:c>
      <x:c r="E47" s="19" t="n">
        <x:v>54</x:v>
      </x:c>
      <x:c r="F47" s="17" t="str">
        <x:v>최근 12개월 블로그 17건</x:v>
      </x:c>
      <x:c r="G47" s="17" t="str">
        <x:v>대전광역시 대덕구 송촌동 456-6 1층</x:v>
      </x:c>
      <x:c r="H47" s="17" t="str">
        <x:v>대전광역시 대덕구 송촌북로20번길 38 1층</x:v>
      </x:c>
      <x:c r="I47" s="18" t="e">
        <x:f>HYPERLINK("https://search.naver.com/search.naver?where=blog&amp;query=%EC%99%84%EB%AF%B8%EC%A1%B1%EB%B0%9C+%EC%86%A1%EC%B4%8C%EC%A0%90+%EB%8C%80%EB%8D%95%EA%B5%AC","블로그 보기")</x:f>
        <x:v>HYPERLINK is not implemented. linkLocation=https://search.naver.com/search.naver?where=blog&amp;query=%EC%99%84%EB%AF%B8%EC%A1%B1%EB%B0%9C+%EC%86%A1%EC%B4%8C%EC%A0%90+%EB%8C%80%EB%8D%95%EA%B5%AC, friendlyName=블로그 보기</x:v>
      </x:c>
      <x:c r="J47" s="18" t="e">
        <x:f>HYPERLINK("https://www.완미족발.kr/","업체 보기")</x:f>
        <x:v>HYPERLINK is not implemented. linkLocation=https://www.완미족발.kr/, friendlyName=업체 보기</x:v>
      </x:c>
      <x:c r="K47" s="18" t="str"/>
      <x:c r="L47" s="17" t="str"/>
      <x:c r="M47" s="20" t="n">
        <x:v>46207</x:v>
      </x:c>
      <x:c r="N47" s="21" t="n">
        <x:v>17</x:v>
      </x:c>
      <x:c r="O47" s="21" t="n">
        <x:v>96</x:v>
      </x:c>
      <x:c r="P47" s="21" t="n">
        <x:v>221</x:v>
      </x:c>
      <x:c r="Q47" s="21" t="n">
        <x:v>1</x:v>
      </x:c>
      <x:c r="R47" s="21" t="n">
        <x:v>1</x:v>
      </x:c>
      <x:c r="S47" s="17" t="str">
        <x:v>대덕구 고기</x:v>
      </x:c>
      <x:c r="T47" s="22" t="n">
        <x:v>36.3647165</x:v>
      </x:c>
      <x:c r="U47" s="22" t="n">
        <x:v>127.4385428</x:v>
      </x:c>
    </x:row>
    <x:row r="48" ht="32" customHeight="1">
      <x:c r="A48" s="18" t="str">
        <x:v>pending</x:v>
      </x:c>
      <x:c r="B48" s="18" t="str">
        <x:v>대덕구</x:v>
      </x:c>
      <x:c r="C48" s="17" t="str">
        <x:v>왕손곱창</x:v>
      </x:c>
      <x:c r="D48" s="17" t="str">
        <x:v>한식&gt;곱창,막창,양</x:v>
      </x:c>
      <x:c r="E48" s="19" t="n">
        <x:v>54</x:v>
      </x:c>
      <x:c r="F48" s="17" t="str">
        <x:v>최근 12개월 블로그 70건</x:v>
      </x:c>
      <x:c r="G48" s="17" t="str">
        <x:v>대전광역시 대덕구 대화동 40-85 왕손곱창</x:v>
      </x:c>
      <x:c r="H48" s="17" t="str">
        <x:v>대전광역시 대덕구 대화로 69 왕손곱창</x:v>
      </x:c>
      <x:c r="I48" s="18" t="e">
        <x:f>HYPERLINK("https://search.naver.com/search.naver?where=blog&amp;query=%EC%99%95%EC%86%90%EA%B3%B1%EC%B0%BD+%EB%8C%80%EB%8D%95%EA%B5%AC","블로그 보기")</x:f>
        <x:v>HYPERLINK is not implemented. linkLocation=https://search.naver.com/search.naver?where=blog&amp;query=%EC%99%95%EC%86%90%EA%B3%B1%EC%B0%BD+%EB%8C%80%EB%8D%95%EA%B5%AC, friendlyName=블로그 보기</x:v>
      </x:c>
      <x:c r="J48" s="18" t="str"/>
      <x:c r="K48" s="18" t="str"/>
      <x:c r="L48" s="17" t="str"/>
      <x:c r="M48" s="20" t="n">
        <x:v>46222</x:v>
      </x:c>
      <x:c r="N48" s="21" t="n">
        <x:v>70</x:v>
      </x:c>
      <x:c r="O48" s="21" t="n">
        <x:v>99</x:v>
      </x:c>
      <x:c r="P48" s="21" t="n">
        <x:v>439</x:v>
      </x:c>
      <x:c r="Q48" s="21" t="n">
        <x:v>1</x:v>
      </x:c>
      <x:c r="R48" s="21" t="n">
        <x:v>1</x:v>
      </x:c>
      <x:c r="S48" s="17" t="str">
        <x:v>대덕구 국밥</x:v>
      </x:c>
      <x:c r="T48" s="22" t="n">
        <x:v>36.3672861</x:v>
      </x:c>
      <x:c r="U48" s="22" t="n">
        <x:v>127.4120853</x:v>
      </x:c>
    </x:row>
    <x:row r="49" ht="32" customHeight="1">
      <x:c r="A49" s="18" t="str">
        <x:v>pending</x:v>
      </x:c>
      <x:c r="B49" s="18" t="str">
        <x:v>대덕구</x:v>
      </x:c>
      <x:c r="C49" s="17" t="str">
        <x:v>이종구항아리짬뽕 오정점</x:v>
      </x:c>
      <x:c r="D49" s="17" t="str">
        <x:v>중식&gt;중식당</x:v>
      </x:c>
      <x:c r="E49" s="19" t="n">
        <x:v>54</x:v>
      </x:c>
      <x:c r="F49" s="17" t="str">
        <x:v>최근 12개월 블로그 35건</x:v>
      </x:c>
      <x:c r="G49" s="17" t="str">
        <x:v>대전광역시 대덕구 오정동 67-25</x:v>
      </x:c>
      <x:c r="H49" s="17" t="str">
        <x:v>대전광역시 대덕구 한밭대로1006번길 11</x:v>
      </x:c>
      <x:c r="I49" s="18" t="e">
        <x:f>HYPERLINK("https://search.naver.com/search.naver?where=blog&amp;query=%EC%9D%B4%EC%A2%85%EA%B5%AC%ED%95%AD%EC%95%84%EB%A6%AC%EC%A7%AC%EB%BD%95+%EC%98%A4%EC%A0%95%EC%A0%90+%EB%8C%80%EB%8D%95%EA%B5%AC","블로그 보기")</x:f>
        <x:v>HYPERLINK is not implemented. linkLocation=https://search.naver.com/search.naver?where=blog&amp;query=%EC%9D%B4%EC%A2%85%EA%B5%AC%ED%95%AD%EC%95%84%EB%A6%AC%EC%A7%AC%EB%BD%95+%EC%98%A4%EC%A0%95%EC%A0%90+%EB%8C%80%EB%8D%95%EA%B5%AC, friendlyName=블로그 보기</x:v>
      </x:c>
      <x:c r="J49" s="18" t="e">
        <x:f>HYPERLINK("http://www.instagram.com/jjambbong777","업체 보기")</x:f>
        <x:v>HYPERLINK is not implemented. linkLocation=http://www.instagram.com/jjambbong777, friendlyName=업체 보기</x:v>
      </x:c>
      <x:c r="K49" s="18" t="str"/>
      <x:c r="L49" s="17" t="str"/>
      <x:c r="M49" s="20" t="n">
        <x:v>46210</x:v>
      </x:c>
      <x:c r="N49" s="21" t="n">
        <x:v>35</x:v>
      </x:c>
      <x:c r="O49" s="21" t="n">
        <x:v>99</x:v>
      </x:c>
      <x:c r="P49" s="21" t="n">
        <x:v>226</x:v>
      </x:c>
      <x:c r="Q49" s="21" t="n">
        <x:v>1</x:v>
      </x:c>
      <x:c r="R49" s="21" t="n">
        <x:v>1</x:v>
      </x:c>
      <x:c r="S49" s="17" t="str">
        <x:v>대덕구 중식</x:v>
      </x:c>
      <x:c r="T49" s="22" t="n">
        <x:v>36.3576459</x:v>
      </x:c>
      <x:c r="U49" s="22" t="n">
        <x:v>127.4107302</x:v>
      </x:c>
    </x:row>
    <x:row r="50" ht="32" customHeight="1">
      <x:c r="A50" s="18" t="str">
        <x:v>pending</x:v>
      </x:c>
      <x:c r="B50" s="18" t="str">
        <x:v>대덕구</x:v>
      </x:c>
      <x:c r="C50" s="17" t="str">
        <x:v>중부회수산</x:v>
      </x:c>
      <x:c r="D50" s="17" t="str">
        <x:v>쇼핑,유통&gt;수산물</x:v>
      </x:c>
      <x:c r="E50" s="19" t="n">
        <x:v>54</x:v>
      </x:c>
      <x:c r="F50" s="17" t="str">
        <x:v>최근 12개월 블로그 100건</x:v>
      </x:c>
      <x:c r="G50" s="17" t="str">
        <x:v>대전광역시 대덕구 중리동 126-1</x:v>
      </x:c>
      <x:c r="H50" s="17" t="str">
        <x:v>대전광역시 대덕구 계족로 544</x:v>
      </x:c>
      <x:c r="I50" s="18" t="e">
        <x:f>HYPERLINK("https://search.naver.com/search.naver?where=blog&amp;query=%EC%A4%91%EB%B6%80%ED%9A%8C%EC%88%98%EC%82%B0+%EB%8C%80%EB%8D%95%EA%B5%AC","블로그 보기")</x:f>
        <x:v>HYPERLINK is not implemented. linkLocation=https://search.naver.com/search.naver?where=blog&amp;query=%EC%A4%91%EB%B6%80%ED%9A%8C%EC%88%98%EC%82%B0+%EB%8C%80%EB%8D%95%EA%B5%AC, friendlyName=블로그 보기</x:v>
      </x:c>
      <x:c r="J50" s="18" t="str"/>
      <x:c r="K50" s="18" t="str"/>
      <x:c r="L50" s="17" t="str"/>
      <x:c r="M50" s="20" t="n">
        <x:v>46222</x:v>
      </x:c>
      <x:c r="N50" s="21" t="n">
        <x:v>100</x:v>
      </x:c>
      <x:c r="O50" s="21" t="n">
        <x:v>96</x:v>
      </x:c>
      <x:c r="P50" s="21" t="n">
        <x:v>454</x:v>
      </x:c>
      <x:c r="Q50" s="21" t="n">
        <x:v>1</x:v>
      </x:c>
      <x:c r="R50" s="21" t="n">
        <x:v>1</x:v>
      </x:c>
      <x:c r="S50" s="17" t="str">
        <x:v>대덕구 해산물</x:v>
      </x:c>
      <x:c r="T50" s="22" t="n">
        <x:v>36.36022</x:v>
      </x:c>
      <x:c r="U50" s="22" t="n">
        <x:v>127.4322781</x:v>
      </x:c>
    </x:row>
    <x:row r="51" ht="32" customHeight="1">
      <x:c r="A51" s="18" t="str">
        <x:v>pending</x:v>
      </x:c>
      <x:c r="B51" s="18" t="str">
        <x:v>대덕구</x:v>
      </x:c>
      <x:c r="C51" s="17" t="str">
        <x:v>청기와냉면 본점</x:v>
      </x:c>
      <x:c r="D51" s="17" t="str">
        <x:v>한식&gt;냉면</x:v>
      </x:c>
      <x:c r="E51" s="19" t="n">
        <x:v>54</x:v>
      </x:c>
      <x:c r="F51" s="17" t="str">
        <x:v>지역성: 본점; 최근 12개월 블로그 25건</x:v>
      </x:c>
      <x:c r="G51" s="17" t="str">
        <x:v>대전광역시 대덕구 상서동 279 . 1층</x:v>
      </x:c>
      <x:c r="H51" s="17" t="str">
        <x:v>대전광역시 대덕구 신탄진로567번길 2 . 1층</x:v>
      </x:c>
      <x:c r="I51" s="18" t="e">
        <x:f>HYPERLINK("https://search.naver.com/search.naver?where=blog&amp;query=%EC%B2%AD%EA%B8%B0%EC%99%80%EB%83%89%EB%A9%B4+%EB%B3%B8%EC%A0%90+%EB%8C%80%EB%8D%95%EA%B5%AC","블로그 보기")</x:f>
        <x:v>HYPERLINK is not implemented. linkLocation=https://search.naver.com/search.naver?where=blog&amp;query=%EC%B2%AD%EA%B8%B0%EC%99%80%EB%83%89%EB%A9%B4+%EB%B3%B8%EC%A0%90+%EB%8C%80%EB%8D%95%EA%B5%AC, friendlyName=블로그 보기</x:v>
      </x:c>
      <x:c r="J51" s="18" t="str"/>
      <x:c r="K51" s="18" t="str"/>
      <x:c r="L51" s="17" t="str"/>
      <x:c r="M51" s="20" t="n">
        <x:v>46213</x:v>
      </x:c>
      <x:c r="N51" s="21" t="n">
        <x:v>25</x:v>
      </x:c>
      <x:c r="O51" s="21" t="n">
        <x:v>42</x:v>
      </x:c>
      <x:c r="P51" s="21" t="n">
        <x:v>90</x:v>
      </x:c>
      <x:c r="Q51" s="21" t="n">
        <x:v>1</x:v>
      </x:c>
      <x:c r="R51" s="21" t="n">
        <x:v>0</x:v>
      </x:c>
      <x:c r="S51" s="17" t="str">
        <x:v>신탄진 냉면</x:v>
      </x:c>
      <x:c r="T51" s="22" t="n">
        <x:v>36.4299095</x:v>
      </x:c>
      <x:c r="U51" s="22" t="n">
        <x:v>127.421431</x:v>
      </x:c>
    </x:row>
    <x:row r="52" ht="32" customHeight="1">
      <x:c r="A52" s="18" t="str">
        <x:v>pending</x:v>
      </x:c>
      <x:c r="B52" s="18" t="str">
        <x:v>대덕구</x:v>
      </x:c>
      <x:c r="C52" s="17" t="str">
        <x:v>해물가</x:v>
      </x:c>
      <x:c r="D52" s="17" t="str">
        <x:v>한식&gt;해물,생선요리</x:v>
      </x:c>
      <x:c r="E52" s="19" t="n">
        <x:v>54</x:v>
      </x:c>
      <x:c r="F52" s="17" t="str">
        <x:v>최근 12개월 블로그 44건</x:v>
      </x:c>
      <x:c r="G52" s="17" t="str">
        <x:v>대전광역시 대덕구 목상동 150-9 1층</x:v>
      </x:c>
      <x:c r="H52" s="17" t="str">
        <x:v>대전광역시 대덕구 대덕대로1458번길 35 1층</x:v>
      </x:c>
      <x:c r="I52" s="18" t="e">
        <x:f>HYPERLINK("https://search.naver.com/search.naver?where=blog&amp;query=%ED%95%B4%EB%AC%BC%EA%B0%80+%EB%8C%80%EB%8D%95%EA%B5%AC","블로그 보기")</x:f>
        <x:v>HYPERLINK is not implemented. linkLocation=https://search.naver.com/search.naver?where=blog&amp;query=%ED%95%B4%EB%AC%BC%EA%B0%80+%EB%8C%80%EB%8D%95%EA%B5%AC, friendlyName=블로그 보기</x:v>
      </x:c>
      <x:c r="J52" s="18" t="str"/>
      <x:c r="K52" s="18" t="str"/>
      <x:c r="L52" s="17" t="str"/>
      <x:c r="M52" s="20" t="n">
        <x:v>46219</x:v>
      </x:c>
      <x:c r="N52" s="21" t="n">
        <x:v>44</x:v>
      </x:c>
      <x:c r="O52" s="21" t="n">
        <x:v>95</x:v>
      </x:c>
      <x:c r="P52" s="21" t="n">
        <x:v>110</x:v>
      </x:c>
      <x:c r="Q52" s="21" t="n">
        <x:v>2</x:v>
      </x:c>
      <x:c r="R52" s="21" t="n">
        <x:v>0</x:v>
      </x:c>
      <x:c r="S52" s="17" t="str">
        <x:v>대덕구 해산물 | 신탄진 해산물</x:v>
      </x:c>
      <x:c r="T52" s="22" t="n">
        <x:v>36.4478701</x:v>
      </x:c>
      <x:c r="U52" s="22" t="n">
        <x:v>127.4120515</x:v>
      </x:c>
    </x:row>
    <x:row r="53" ht="32" customHeight="1">
      <x:c r="A53" s="18" t="str">
        <x:v>pending</x:v>
      </x:c>
      <x:c r="B53" s="18" t="str">
        <x:v>대덕구</x:v>
      </x:c>
      <x:c r="C53" s="17" t="str">
        <x:v>다해활어시장식당</x:v>
      </x:c>
      <x:c r="D53" s="17" t="str">
        <x:v>한식&gt;생선회</x:v>
      </x:c>
      <x:c r="E53" s="19" t="n">
        <x:v>53</x:v>
      </x:c>
      <x:c r="F53" s="17" t="str">
        <x:v>최근 12개월 블로그 100건</x:v>
      </x:c>
      <x:c r="G53" s="17" t="str">
        <x:v>대전광역시 대덕구 석봉동 322-1</x:v>
      </x:c>
      <x:c r="H53" s="17" t="str">
        <x:v>대전광역시 대덕구 덕암북로 85 (석봉동)</x:v>
      </x:c>
      <x:c r="I53" s="18" t="e">
        <x:f>HYPERLINK("https://search.naver.com/search.naver?where=blog&amp;query=%EB%8B%A4%ED%95%B4%ED%99%9C%EC%96%B4%EC%8B%9C%EC%9E%A5%EC%8B%9D%EB%8B%B9+%EC%84%9D%EB%B4%89%EB%8F%99","블로그 보기")</x:f>
        <x:v>HYPERLINK is not implemented. linkLocation=https://search.naver.com/search.naver?where=blog&amp;query=%EB%8B%A4%ED%95%B4%ED%99%9C%EC%96%B4%EC%8B%9C%EC%9E%A5%EC%8B%9D%EB%8B%B9+%EC%84%9D%EB%B4%89%EB%8F%99, friendlyName=블로그 보기</x:v>
      </x:c>
      <x:c r="J53" s="18" t="str"/>
      <x:c r="K53" s="18" t="str"/>
      <x:c r="L53" s="17" t="str"/>
      <x:c r="M53" s="20" t="n">
        <x:v>46220</x:v>
      </x:c>
      <x:c r="N53" s="21" t="n">
        <x:v>100</x:v>
      </x:c>
      <x:c r="O53" s="21" t="n">
        <x:v>86</x:v>
      </x:c>
      <x:c r="P53" s="21" t="n">
        <x:v>1111</x:v>
      </x:c>
      <x:c r="Q53" s="21" t="n">
        <x:v>1</x:v>
      </x:c>
      <x:c r="R53" s="21" t="n">
        <x:v>0</x:v>
      </x:c>
      <x:c r="S53" s="17" t="str">
        <x:v>신탄진 해산물</x:v>
      </x:c>
      <x:c r="T53" s="22" t="n">
        <x:v>36.4440112</x:v>
      </x:c>
      <x:c r="U53" s="22" t="n">
        <x:v>127.4267664</x:v>
      </x:c>
    </x:row>
    <x:row r="54" ht="32" customHeight="1">
      <x:c r="A54" s="18" t="str">
        <x:v>pending</x:v>
      </x:c>
      <x:c r="B54" s="18" t="str">
        <x:v>대덕구</x:v>
      </x:c>
      <x:c r="C54" s="17" t="str">
        <x:v>불티나만두찐빵</x:v>
      </x:c>
      <x:c r="D54" s="17" t="str">
        <x:v>분식&gt;종합분식</x:v>
      </x:c>
      <x:c r="E54" s="19" t="n">
        <x:v>53</x:v>
      </x:c>
      <x:c r="F54" s="17" t="str">
        <x:v>최근 12개월 블로그 12건</x:v>
      </x:c>
      <x:c r="G54" s="17" t="str">
        <x:v>대전광역시 대덕구 중리동 372-2</x:v>
      </x:c>
      <x:c r="H54" s="17" t="str">
        <x:v>대전광역시 대덕구 중리로76번길 18</x:v>
      </x:c>
      <x:c r="I54" s="18" t="e">
        <x:f>HYPERLINK("https://search.naver.com/search.naver?where=blog&amp;query=%EB%B6%88%ED%8B%B0%EB%82%98%EB%A7%8C%EB%91%90%EC%B0%90%EB%B9%B5+%EB%8C%80%EB%8D%95%EA%B5%AC","블로그 보기")</x:f>
        <x:v>HYPERLINK is not implemented. linkLocation=https://search.naver.com/search.naver?where=blog&amp;query=%EB%B6%88%ED%8B%B0%EB%82%98%EB%A7%8C%EB%91%90%EC%B0%90%EB%B9%B5+%EB%8C%80%EB%8D%95%EA%B5%AC, friendlyName=블로그 보기</x:v>
      </x:c>
      <x:c r="J54" s="18" t="str"/>
      <x:c r="K54" s="18" t="str"/>
      <x:c r="L54" s="17" t="str"/>
      <x:c r="M54" s="20" t="n">
        <x:v>46211</x:v>
      </x:c>
      <x:c r="N54" s="21" t="n">
        <x:v>12</x:v>
      </x:c>
      <x:c r="O54" s="21" t="n">
        <x:v>94</x:v>
      </x:c>
      <x:c r="P54" s="21" t="n">
        <x:v>121</x:v>
      </x:c>
      <x:c r="Q54" s="21" t="n">
        <x:v>1</x:v>
      </x:c>
      <x:c r="R54" s="21" t="n">
        <x:v>1</x:v>
      </x:c>
      <x:c r="S54" s="17" t="str">
        <x:v>대덕구 분식</x:v>
      </x:c>
      <x:c r="T54" s="22" t="n">
        <x:v>36.3657405</x:v>
      </x:c>
      <x:c r="U54" s="22" t="n">
        <x:v>127.4262058</x:v>
      </x:c>
    </x:row>
    <x:row r="55" ht="32" customHeight="1">
      <x:c r="A55" s="18" t="str">
        <x:v>pending</x:v>
      </x:c>
      <x:c r="B55" s="18" t="str">
        <x:v>대덕구</x:v>
      </x:c>
      <x:c r="C55" s="17" t="str">
        <x:v>은혜식당</x:v>
      </x:c>
      <x:c r="D55" s="17" t="str">
        <x:v>음식점&gt;한식</x:v>
      </x:c>
      <x:c r="E55" s="19" t="n">
        <x:v>53</x:v>
      </x:c>
      <x:c r="F55" s="17" t="str">
        <x:v>최근 12개월 블로그 12건</x:v>
      </x:c>
      <x:c r="G55" s="17" t="str">
        <x:v>대전광역시 대덕구 중리동 204-7 1층 은혜식당</x:v>
      </x:c>
      <x:c r="H55" s="17" t="str">
        <x:v>대전광역시 대덕구 한밭대로1159번길 11 1층 은혜식당</x:v>
      </x:c>
      <x:c r="I55" s="18" t="e">
        <x:f>HYPERLINK("https://search.naver.com/search.naver?where=blog&amp;query=%EC%9D%80%ED%98%9C%EC%8B%9D%EB%8B%B9+%EB%8C%80%EB%8D%95%EA%B5%AC","블로그 보기")</x:f>
        <x:v>HYPERLINK is not implemented. linkLocation=https://search.naver.com/search.naver?where=blog&amp;query=%EC%9D%80%ED%98%9C%EC%8B%9D%EB%8B%B9+%EB%8C%80%EB%8D%95%EA%B5%AC, friendlyName=블로그 보기</x:v>
      </x:c>
      <x:c r="J55" s="18" t="e">
        <x:f>HYPERLINK("https://www.instagram.com/daejeon_eunhye?igsh=MTQwaDV1bDVybjY5YQ%3D%3D&amp;utm_source=qr","업체 보기")</x:f>
        <x:v>HYPERLINK is not implemented. linkLocation=https://www.instagram.com/daejeon_eunhye?igsh=MTQwaDV1bDVybjY5YQ%3D%3D&amp;utm_source=qr, friendlyName=업체 보기</x:v>
      </x:c>
      <x:c r="K55" s="18" t="str"/>
      <x:c r="L55" s="17" t="str"/>
      <x:c r="M55" s="20" t="n">
        <x:v>46192</x:v>
      </x:c>
      <x:c r="N55" s="21" t="n">
        <x:v>12</x:v>
      </x:c>
      <x:c r="O55" s="21" t="n">
        <x:v>96</x:v>
      </x:c>
      <x:c r="P55" s="21" t="n">
        <x:v>191</x:v>
      </x:c>
      <x:c r="Q55" s="21" t="n">
        <x:v>1</x:v>
      </x:c>
      <x:c r="R55" s="21" t="n">
        <x:v>1</x:v>
      </x:c>
      <x:c r="S55" s="17" t="str">
        <x:v>대덕구 두부두루치기</x:v>
      </x:c>
      <x:c r="T55" s="22" t="n">
        <x:v>36.3596221</x:v>
      </x:c>
      <x:c r="U55" s="22" t="n">
        <x:v>127.427225</x:v>
      </x:c>
    </x:row>
    <x:row r="56" ht="32" customHeight="1">
      <x:c r="A56" s="18" t="str">
        <x:v>pending</x:v>
      </x:c>
      <x:c r="B56" s="18" t="str">
        <x:v>대덕구</x:v>
      </x:c>
      <x:c r="C56" s="17" t="str">
        <x:v>장수촌 송촌점</x:v>
      </x:c>
      <x:c r="D56" s="17" t="str">
        <x:v>한식&gt;백숙,삼계탕</x:v>
      </x:c>
      <x:c r="E56" s="19" t="n">
        <x:v>53</x:v>
      </x:c>
      <x:c r="F56" s="17" t="str">
        <x:v>최근 12개월 블로그 28건</x:v>
      </x:c>
      <x:c r="G56" s="17" t="str">
        <x:v>대전광역시 대덕구 송촌동 499-8</x:v>
      </x:c>
      <x:c r="H56" s="17" t="str">
        <x:v>대전광역시 대덕구 동춘당로44번길 19</x:v>
      </x:c>
      <x:c r="I56" s="18" t="e">
        <x:f>HYPERLINK("https://search.naver.com/search.naver?where=blog&amp;query=%EC%9E%A5%EC%88%98%EC%B4%8C+%EC%86%A1%EC%B4%8C%EC%A0%90+%EB%8C%80%EB%8D%95%EA%B5%AC","블로그 보기")</x:f>
        <x:v>HYPERLINK is not implemented. linkLocation=https://search.naver.com/search.naver?where=blog&amp;query=%EC%9E%A5%EC%88%98%EC%B4%8C+%EC%86%A1%EC%B4%8C%EC%A0%90+%EB%8C%80%EB%8D%95%EA%B5%AC, friendlyName=블로그 보기</x:v>
      </x:c>
      <x:c r="J56" s="18" t="str"/>
      <x:c r="K56" s="18" t="str"/>
      <x:c r="L56" s="17" t="str"/>
      <x:c r="M56" s="20" t="n">
        <x:v>46222</x:v>
      </x:c>
      <x:c r="N56" s="21" t="n">
        <x:v>28</x:v>
      </x:c>
      <x:c r="O56" s="21" t="n">
        <x:v>95</x:v>
      </x:c>
      <x:c r="P56" s="21" t="n">
        <x:v>171</x:v>
      </x:c>
      <x:c r="Q56" s="21" t="n">
        <x:v>1</x:v>
      </x:c>
      <x:c r="R56" s="21" t="n">
        <x:v>1</x:v>
      </x:c>
      <x:c r="S56" s="17" t="str">
        <x:v>대덕구 삼계탕</x:v>
      </x:c>
      <x:c r="T56" s="22" t="n">
        <x:v>36.3632519</x:v>
      </x:c>
      <x:c r="U56" s="22" t="n">
        <x:v>127.4449579</x:v>
      </x:c>
    </x:row>
    <x:row r="57" ht="32" customHeight="1">
      <x:c r="A57" s="18" t="str">
        <x:v>pending</x:v>
      </x:c>
      <x:c r="B57" s="18" t="str">
        <x:v>대덕구</x:v>
      </x:c>
      <x:c r="C57" s="17" t="str">
        <x:v>준짬뽕</x:v>
      </x:c>
      <x:c r="D57" s="17" t="str">
        <x:v>중식&gt;중식당</x:v>
      </x:c>
      <x:c r="E57" s="19" t="n">
        <x:v>53</x:v>
      </x:c>
      <x:c r="F57" s="17" t="str">
        <x:v>최근 12개월 블로그 25건</x:v>
      </x:c>
      <x:c r="G57" s="17" t="str">
        <x:v>대전광역시 대덕구 덕암동 70-3 1층</x:v>
      </x:c>
      <x:c r="H57" s="17" t="str">
        <x:v>대전광역시 대덕구 덕암로125번안길 60 1층</x:v>
      </x:c>
      <x:c r="I57" s="18" t="e">
        <x:f>HYPERLINK("https://search.naver.com/search.naver?where=blog&amp;query=%EC%A4%80%EC%A7%AC%EB%BD%95+%EB%8C%80%EB%8D%95%EA%B5%AC","블로그 보기")</x:f>
        <x:v>HYPERLINK is not implemented. linkLocation=https://search.naver.com/search.naver?where=blog&amp;query=%EC%A4%80%EC%A7%AC%EB%BD%95+%EB%8C%80%EB%8D%95%EA%B5%AC, friendlyName=블로그 보기</x:v>
      </x:c>
      <x:c r="J57" s="18" t="e">
        <x:f>HYPERLINK("https://cafe.naver.com/","업체 보기")</x:f>
        <x:v>HYPERLINK is not implemented. linkLocation=https://cafe.naver.com/, friendlyName=업체 보기</x:v>
      </x:c>
      <x:c r="K57" s="18" t="str"/>
      <x:c r="L57" s="17" t="str"/>
      <x:c r="M57" s="20" t="n">
        <x:v>46221</x:v>
      </x:c>
      <x:c r="N57" s="21" t="n">
        <x:v>25</x:v>
      </x:c>
      <x:c r="O57" s="21" t="n">
        <x:v>61</x:v>
      </x:c>
      <x:c r="P57" s="21" t="n">
        <x:v>63</x:v>
      </x:c>
      <x:c r="Q57" s="21" t="n">
        <x:v>2</x:v>
      </x:c>
      <x:c r="R57" s="21" t="n">
        <x:v>0</x:v>
      </x:c>
      <x:c r="S57" s="17" t="str">
        <x:v>대덕구 중식 | 신탄진 중식</x:v>
      </x:c>
      <x:c r="T57" s="22" t="n">
        <x:v>36.4349214</x:v>
      </x:c>
      <x:c r="U57" s="22" t="n">
        <x:v>127.4211548</x:v>
      </x:c>
    </x:row>
    <x:row r="58" ht="32" customHeight="1">
      <x:c r="A58" s="18" t="str">
        <x:v>pending</x:v>
      </x:c>
      <x:c r="B58" s="18" t="str">
        <x:v>대덕구</x:v>
      </x:c>
      <x:c r="C58" s="17" t="str">
        <x:v>킴스돈까스</x:v>
      </x:c>
      <x:c r="D58" s="17" t="str">
        <x:v>음식점&gt;일식&gt;돈가스</x:v>
      </x:c>
      <x:c r="E58" s="19" t="n">
        <x:v>53</x:v>
      </x:c>
      <x:c r="F58" s="17" t="str">
        <x:v>최근 12개월 블로그 33건</x:v>
      </x:c>
      <x:c r="G58" s="17" t="str">
        <x:v>대전광역시 대덕구 오정동 172-5</x:v>
      </x:c>
      <x:c r="H58" s="17" t="str">
        <x:v>대전광역시 대덕구 한남로 61</x:v>
      </x:c>
      <x:c r="I58" s="18" t="e">
        <x:f>HYPERLINK("https://search.naver.com/search.naver?where=blog&amp;query=%ED%82%B4%EC%8A%A4%EB%8F%88%EA%B9%8C%EC%8A%A4+%EB%8C%80%EB%8D%95%EA%B5%AC","블로그 보기")</x:f>
        <x:v>HYPERLINK is not implemented. linkLocation=https://search.naver.com/search.naver?where=blog&amp;query=%ED%82%B4%EC%8A%A4%EB%8F%88%EA%B9%8C%EC%8A%A4+%EB%8C%80%EB%8D%95%EA%B5%AC, friendlyName=블로그 보기</x:v>
      </x:c>
      <x:c r="J58" s="18" t="str"/>
      <x:c r="K58" s="18" t="str"/>
      <x:c r="L58" s="17" t="str"/>
      <x:c r="M58" s="20" t="n">
        <x:v>46216</x:v>
      </x:c>
      <x:c r="N58" s="21" t="n">
        <x:v>33</x:v>
      </x:c>
      <x:c r="O58" s="21" t="n">
        <x:v>94</x:v>
      </x:c>
      <x:c r="P58" s="21" t="n">
        <x:v>189</x:v>
      </x:c>
      <x:c r="Q58" s="21" t="n">
        <x:v>1</x:v>
      </x:c>
      <x:c r="R58" s="21" t="n">
        <x:v>1</x:v>
      </x:c>
      <x:c r="S58" s="17" t="str">
        <x:v>대덕구 일식</x:v>
      </x:c>
      <x:c r="T58" s="22" t="n">
        <x:v>36.35136</x:v>
      </x:c>
      <x:c r="U58" s="22" t="n">
        <x:v>127.4214749</x:v>
      </x:c>
    </x:row>
    <x:row r="59" ht="32" customHeight="1">
      <x:c r="A59" s="18" t="str">
        <x:v>pending</x:v>
      </x:c>
      <x:c r="B59" s="18" t="str">
        <x:v>대덕구</x:v>
      </x:c>
      <x:c r="C59" s="17" t="str">
        <x:v>혜성옥</x:v>
      </x:c>
      <x:c r="D59" s="17" t="str">
        <x:v>한식&gt;곰탕,설렁탕</x:v>
      </x:c>
      <x:c r="E59" s="19" t="n">
        <x:v>53</x:v>
      </x:c>
      <x:c r="F59" s="17" t="str">
        <x:v>최근 12개월 블로그 42건</x:v>
      </x:c>
      <x:c r="G59" s="17" t="str">
        <x:v>대전광역시 대덕구 중리동 410-3</x:v>
      </x:c>
      <x:c r="H59" s="17" t="str">
        <x:v>대전광역시 대덕구 한밭대로 1147</x:v>
      </x:c>
      <x:c r="I59" s="18" t="e">
        <x:f>HYPERLINK("https://search.naver.com/search.naver?where=blog&amp;query=%ED%98%9C%EC%84%B1%EC%98%A5+%EB%8C%80%EB%8D%95%EA%B5%AC","블로그 보기")</x:f>
        <x:v>HYPERLINK is not implemented. linkLocation=https://search.naver.com/search.naver?where=blog&amp;query=%ED%98%9C%EC%84%B1%EC%98%A5+%EB%8C%80%EB%8D%95%EA%B5%AC, friendlyName=블로그 보기</x:v>
      </x:c>
      <x:c r="J59" s="18" t="str"/>
      <x:c r="K59" s="18" t="str"/>
      <x:c r="L59" s="17" t="str"/>
      <x:c r="M59" s="20" t="n">
        <x:v>46216</x:v>
      </x:c>
      <x:c r="N59" s="21" t="n">
        <x:v>42</x:v>
      </x:c>
      <x:c r="O59" s="21" t="n">
        <x:v>93</x:v>
      </x:c>
      <x:c r="P59" s="21" t="n">
        <x:v>190</x:v>
      </x:c>
      <x:c r="Q59" s="21" t="n">
        <x:v>1</x:v>
      </x:c>
      <x:c r="R59" s="21" t="n">
        <x:v>1</x:v>
      </x:c>
      <x:c r="S59" s="17" t="str">
        <x:v>대덕구 냉면</x:v>
      </x:c>
      <x:c r="T59" s="22" t="n">
        <x:v>36.3593147</x:v>
      </x:c>
      <x:c r="U59" s="22" t="n">
        <x:v>127.4258928</x:v>
      </x:c>
    </x:row>
    <x:row r="60" ht="32" customHeight="1">
      <x:c r="A60" s="18" t="str">
        <x:v>pending</x:v>
      </x:c>
      <x:c r="B60" s="18" t="str">
        <x:v>대덕구</x:v>
      </x:c>
      <x:c r="C60" s="17" t="str">
        <x:v>대왕산삼백숙농원 대청댐점 삼계탕 갈비탕 오리 닭 백숙</x:v>
      </x:c>
      <x:c r="D60" s="17" t="str">
        <x:v>음식점&gt;한식</x:v>
      </x:c>
      <x:c r="E60" s="19" t="n">
        <x:v>52</x:v>
      </x:c>
      <x:c r="F60" s="17" t="str">
        <x:v>최근 12개월 블로그 100건</x:v>
      </x:c>
      <x:c r="G60" s="17" t="str">
        <x:v>대전광역시 대덕구 미호동 268-3</x:v>
      </x:c>
      <x:c r="H60" s="17" t="str">
        <x:v>대전광역시 대덕구 대청로 516</x:v>
      </x:c>
      <x:c r="I60" s="18" t="e">
        <x:f>HYPERLINK("https://search.naver.com/search.naver?where=blog&amp;query=%EB%8C%80%EC%99%95%EC%82%B0%EC%82%BC%EB%B0%B1%EC%88%99%EB%86%8D%EC%9B%90+%EB%8C%80%EC%B2%AD%EB%8C%90%EC%A0%90+%EC%82%BC%EA%B3%84%ED%83%95+%EA%B0%88%EB%B9%84%ED%83%95+%EC%98%A4%EB%A6%AC+%EB%8B%AD+%EB%B0%B1%EC%88%99+%EB%8C%80%EB%8D%95%EA%B5%AC","블로그 보기")</x:f>
        <x:v>HYPERLINK is not implemented. linkLocation=https://search.naver.com/search.naver?where=blog&amp;query=%EB%8C%80%EC%99%95%EC%82%B0%EC%82%BC%EB%B0%B1%EC%88%99%EB%86%8D%EC%9B%90+%EB%8C%80%EC%B2%AD%EB%8C%90%EC%A0%90+%EC%82%BC%EA%B3%84%ED%83%95+%EA%B0%88%EB%B9%84%ED%83%95+%EC%98%A4%EB%A6%AC+%EB%8B%AD+%EB%B0%B1%EC%88%99+%EB%8C%80%EB%8D%95%EA%B5%AC, friendlyName=블로그 보기</x:v>
      </x:c>
      <x:c r="J60" s="18" t="str"/>
      <x:c r="K60" s="18" t="str"/>
      <x:c r="L60" s="17" t="str"/>
      <x:c r="M60" s="20" t="n">
        <x:v>46220</x:v>
      </x:c>
      <x:c r="N60" s="21" t="n">
        <x:v>100</x:v>
      </x:c>
      <x:c r="O60" s="21" t="n">
        <x:v>87</x:v>
      </x:c>
      <x:c r="P60" s="21" t="n">
        <x:v>500</x:v>
      </x:c>
      <x:c r="Q60" s="21" t="n">
        <x:v>1</x:v>
      </x:c>
      <x:c r="R60" s="21" t="n">
        <x:v>0</x:v>
      </x:c>
      <x:c r="S60" s="17" t="str">
        <x:v>대덕구 삼계탕</x:v>
      </x:c>
      <x:c r="T60" s="22" t="n">
        <x:v>36.4659889</x:v>
      </x:c>
      <x:c r="U60" s="22" t="n">
        <x:v>127.4686714</x:v>
      </x:c>
    </x:row>
    <x:row r="61" ht="32" customHeight="1">
      <x:c r="A61" s="18" t="str">
        <x:v>pending</x:v>
      </x:c>
      <x:c r="B61" s="18" t="str">
        <x:v>대덕구</x:v>
      </x:c>
      <x:c r="C61" s="17" t="str">
        <x:v>땅스부대찌개 비래점</x:v>
      </x:c>
      <x:c r="D61" s="17" t="str">
        <x:v>한식&gt;찌개,전골</x:v>
      </x:c>
      <x:c r="E61" s="19" t="n">
        <x:v>52</x:v>
      </x:c>
      <x:c r="F61" s="17" t="str">
        <x:v>최근 12개월 블로그 10건</x:v>
      </x:c>
      <x:c r="G61" s="17" t="str">
        <x:v>대전광역시 대덕구 비래동 139-1</x:v>
      </x:c>
      <x:c r="H61" s="17" t="str">
        <x:v>대전광역시 대덕구 비래동로 20</x:v>
      </x:c>
      <x:c r="I61" s="18" t="e">
        <x:f>HYPERLINK("https://search.naver.com/search.naver?where=blog&amp;query=%EB%95%85%EC%8A%A4%EB%B6%80%EB%8C%80%EC%B0%8C%EA%B0%9C+%EB%B9%84%EB%9E%98%EC%A0%90+%EB%B9%84%EB%9E%98%EB%8F%99","블로그 보기")</x:f>
        <x:v>HYPERLINK is not implemented. linkLocation=https://search.naver.com/search.naver?where=blog&amp;query=%EB%95%85%EC%8A%A4%EB%B6%80%EB%8C%80%EC%B0%8C%EA%B0%9C+%EB%B9%84%EB%9E%98%EC%A0%90+%EB%B9%84%EB%9E%98%EB%8F%99, friendlyName=블로그 보기</x:v>
      </x:c>
      <x:c r="J61" s="18" t="e">
        <x:f>HYPERLINK("https://www.youtube.com/@tsbudae_official","업체 보기")</x:f>
        <x:v>HYPERLINK is not implemented. linkLocation=https://www.youtube.com/@tsbudae_official, friendlyName=업체 보기</x:v>
      </x:c>
      <x:c r="K61" s="18" t="str"/>
      <x:c r="L61" s="17" t="str"/>
      <x:c r="M61" s="20" t="n">
        <x:v>46136</x:v>
      </x:c>
      <x:c r="N61" s="21" t="n">
        <x:v>10</x:v>
      </x:c>
      <x:c r="O61" s="21" t="n">
        <x:v>29</x:v>
      </x:c>
      <x:c r="P61" s="21" t="n">
        <x:v>47</x:v>
      </x:c>
      <x:c r="Q61" s="21" t="n">
        <x:v>1</x:v>
      </x:c>
      <x:c r="R61" s="21" t="n">
        <x:v>1</x:v>
      </x:c>
      <x:c r="S61" s="17" t="str">
        <x:v>비래동 한식</x:v>
      </x:c>
      <x:c r="T61" s="22" t="n">
        <x:v>36.3558114</x:v>
      </x:c>
      <x:c r="U61" s="22" t="n">
        <x:v>127.4502748</x:v>
      </x:c>
    </x:row>
    <x:row r="62" ht="32" customHeight="1">
      <x:c r="A62" s="18" t="str">
        <x:v>pending</x:v>
      </x:c>
      <x:c r="B62" s="18" t="str">
        <x:v>대덕구</x:v>
      </x:c>
      <x:c r="C62" s="17" t="str">
        <x:v>샤브쌈주머니 오정점</x:v>
      </x:c>
      <x:c r="D62" s="17" t="str">
        <x:v>음식점&gt;일식&gt;샤브샤브</x:v>
      </x:c>
      <x:c r="E62" s="19" t="n">
        <x:v>52</x:v>
      </x:c>
      <x:c r="F62" s="17" t="str">
        <x:v>최근 12개월 블로그 23건</x:v>
      </x:c>
      <x:c r="G62" s="17" t="str">
        <x:v>대전광역시 대덕구 오정동 65-8 2층 샤브쌈주머니 오정점</x:v>
      </x:c>
      <x:c r="H62" s="17" t="str">
        <x:v>대전광역시 대덕구 한밭대로 1048 2층 샤브쌈주머니 오정점</x:v>
      </x:c>
      <x:c r="I62" s="18" t="e">
        <x:f>HYPERLINK("https://search.naver.com/search.naver?where=blog&amp;query=%EC%83%A4%EB%B8%8C%EC%8C%88%EC%A3%BC%EB%A8%B8%EB%8B%88+%EC%98%A4%EC%A0%95%EC%A0%90+%EB%8C%80%EB%8D%95%EA%B5%AC","블로그 보기")</x:f>
        <x:v>HYPERLINK is not implemented. linkLocation=https://search.naver.com/search.naver?where=blog&amp;query=%EC%83%A4%EB%B8%8C%EC%8C%88%EC%A3%BC%EB%A8%B8%EB%8B%88+%EC%98%A4%EC%A0%95%EC%A0%90+%EB%8C%80%EB%8D%95%EA%B5%AC, friendlyName=블로그 보기</x:v>
      </x:c>
      <x:c r="J62" s="18" t="str"/>
      <x:c r="K62" s="18" t="str"/>
      <x:c r="L62" s="17" t="str"/>
      <x:c r="M62" s="20" t="n">
        <x:v>46204</x:v>
      </x:c>
      <x:c r="N62" s="21" t="n">
        <x:v>23</x:v>
      </x:c>
      <x:c r="O62" s="21" t="n">
        <x:v>87</x:v>
      </x:c>
      <x:c r="P62" s="21" t="n">
        <x:v>96</x:v>
      </x:c>
      <x:c r="Q62" s="21" t="n">
        <x:v>1</x:v>
      </x:c>
      <x:c r="R62" s="21" t="n">
        <x:v>1</x:v>
      </x:c>
      <x:c r="S62" s="17" t="str">
        <x:v>대덕구 일식</x:v>
      </x:c>
      <x:c r="T62" s="22" t="n">
        <x:v>36.3582346</x:v>
      </x:c>
      <x:c r="U62" s="22" t="n">
        <x:v>127.4149222</x:v>
      </x:c>
    </x:row>
    <x:row r="63" ht="32" customHeight="1">
      <x:c r="A63" s="18" t="str">
        <x:v>pending</x:v>
      </x:c>
      <x:c r="B63" s="18" t="str">
        <x:v>대덕구</x:v>
      </x:c>
      <x:c r="C63" s="17" t="str">
        <x:v>순대폭식소</x:v>
      </x:c>
      <x:c r="D63" s="17" t="str">
        <x:v>한식&gt;순대,순댓국</x:v>
      </x:c>
      <x:c r="E63" s="19" t="n">
        <x:v>52</x:v>
      </x:c>
      <x:c r="F63" s="17" t="str">
        <x:v>최근 12개월 블로그 25건</x:v>
      </x:c>
      <x:c r="G63" s="17" t="str">
        <x:v>대전광역시 대덕구 덕암동 65-8 1층</x:v>
      </x:c>
      <x:c r="H63" s="17" t="str">
        <x:v>대전광역시 대덕구 덕암로125번안길 94 1층</x:v>
      </x:c>
      <x:c r="I63" s="18" t="e">
        <x:f>HYPERLINK("https://search.naver.com/search.naver?where=blog&amp;query=%EC%88%9C%EB%8C%80%ED%8F%AD%EC%8B%9D%EC%86%8C+%EB%8C%80%EB%8D%95%EA%B5%AC","블로그 보기")</x:f>
        <x:v>HYPERLINK is not implemented. linkLocation=https://search.naver.com/search.naver?where=blog&amp;query=%EC%88%9C%EB%8C%80%ED%8F%AD%EC%8B%9D%EC%86%8C+%EB%8C%80%EB%8D%95%EA%B5%AC, friendlyName=블로그 보기</x:v>
      </x:c>
      <x:c r="J63" s="18" t="str"/>
      <x:c r="K63" s="18" t="str"/>
      <x:c r="L63" s="17" t="str"/>
      <x:c r="M63" s="20" t="n">
        <x:v>46220</x:v>
      </x:c>
      <x:c r="N63" s="21" t="n">
        <x:v>25</x:v>
      </x:c>
      <x:c r="O63" s="21" t="n">
        <x:v>24</x:v>
      </x:c>
      <x:c r="P63" s="21" t="n">
        <x:v>25</x:v>
      </x:c>
      <x:c r="Q63" s="21" t="n">
        <x:v>2</x:v>
      </x:c>
      <x:c r="R63" s="21" t="n">
        <x:v>0</x:v>
      </x:c>
      <x:c r="S63" s="17" t="str">
        <x:v>신탄진 맛집 | 신탄진 한식</x:v>
      </x:c>
      <x:c r="T63" s="22" t="n">
        <x:v>36.4362881</x:v>
      </x:c>
      <x:c r="U63" s="22" t="n">
        <x:v>127.4216444</x:v>
      </x:c>
    </x:row>
    <x:row r="64" ht="32" customHeight="1">
      <x:c r="A64" s="18" t="str">
        <x:v>pending</x:v>
      </x:c>
      <x:c r="B64" s="18" t="str">
        <x:v>대덕구</x:v>
      </x:c>
      <x:c r="C64" s="17" t="str">
        <x:v>스시류</x:v>
      </x:c>
      <x:c r="D64" s="17" t="str">
        <x:v>음식점&gt;일식&gt;초밥,롤</x:v>
      </x:c>
      <x:c r="E64" s="19" t="n">
        <x:v>52</x:v>
      </x:c>
      <x:c r="F64" s="17" t="str">
        <x:v>최근 12개월 블로그 20건</x:v>
      </x:c>
      <x:c r="G64" s="17" t="str">
        <x:v>대전광역시 대덕구 송촌동 467-11</x:v>
      </x:c>
      <x:c r="H64" s="17" t="str">
        <x:v>대전광역시 대덕구 송촌북로12번길 11</x:v>
      </x:c>
      <x:c r="I64" s="18" t="e">
        <x:f>HYPERLINK("https://search.naver.com/search.naver?where=blog&amp;query=%EC%8A%A4%EC%8B%9C%EB%A5%98+%EB%8C%80%EB%8D%95%EA%B5%AC","블로그 보기")</x:f>
        <x:v>HYPERLINK is not implemented. linkLocation=https://search.naver.com/search.naver?where=blog&amp;query=%EC%8A%A4%EC%8B%9C%EB%A5%98+%EB%8C%80%EB%8D%95%EA%B5%AC, friendlyName=블로그 보기</x:v>
      </x:c>
      <x:c r="J64" s="18" t="str"/>
      <x:c r="K64" s="18" t="str"/>
      <x:c r="L64" s="17" t="str"/>
      <x:c r="M64" s="20" t="n">
        <x:v>46213</x:v>
      </x:c>
      <x:c r="N64" s="21" t="n">
        <x:v>20</x:v>
      </x:c>
      <x:c r="O64" s="21" t="n">
        <x:v>78</x:v>
      </x:c>
      <x:c r="P64" s="21" t="n">
        <x:v>83</x:v>
      </x:c>
      <x:c r="Q64" s="21" t="n">
        <x:v>1</x:v>
      </x:c>
      <x:c r="R64" s="21" t="n">
        <x:v>1</x:v>
      </x:c>
      <x:c r="S64" s="17" t="str">
        <x:v>대덕구 일식</x:v>
      </x:c>
      <x:c r="T64" s="22" t="n">
        <x:v>36.3636879</x:v>
      </x:c>
      <x:c r="U64" s="22" t="n">
        <x:v>127.437416</x:v>
      </x:c>
    </x:row>
    <x:row r="65" ht="32" customHeight="1">
      <x:c r="A65" s="18" t="str">
        <x:v>pending</x:v>
      </x:c>
      <x:c r="B65" s="18" t="str">
        <x:v>대덕구</x:v>
      </x:c>
      <x:c r="C65" s="17" t="str">
        <x:v>쯔보</x:v>
      </x:c>
      <x:c r="D65" s="17" t="str">
        <x:v>음식점&gt;아시아음식</x:v>
      </x:c>
      <x:c r="E65" s="19" t="n">
        <x:v>52</x:v>
      </x:c>
      <x:c r="F65" s="17" t="str">
        <x:v>최근 12개월 블로그 25건</x:v>
      </x:c>
      <x:c r="G65" s="17" t="str">
        <x:v>대전광역시 대덕구 오정동 175-22 1층</x:v>
      </x:c>
      <x:c r="H65" s="17" t="str">
        <x:v>대전광역시 대덕구 한남로12번길 47 1층</x:v>
      </x:c>
      <x:c r="I65" s="18" t="e">
        <x:f>HYPERLINK("https://search.naver.com/search.naver?where=blog&amp;query=%EC%AF%94%EB%B3%B4+%EB%8C%80%EB%8D%95%EA%B5%AC","블로그 보기")</x:f>
        <x:v>HYPERLINK is not implemented. linkLocation=https://search.naver.com/search.naver?where=blog&amp;query=%EC%AF%94%EB%B3%B4+%EB%8C%80%EB%8D%95%EA%B5%AC, friendlyName=블로그 보기</x:v>
      </x:c>
      <x:c r="J65" s="18" t="str"/>
      <x:c r="K65" s="18" t="str"/>
      <x:c r="L65" s="17" t="str"/>
      <x:c r="M65" s="20" t="n">
        <x:v>46212</x:v>
      </x:c>
      <x:c r="N65" s="21" t="n">
        <x:v>25</x:v>
      </x:c>
      <x:c r="O65" s="21" t="n">
        <x:v>46</x:v>
      </x:c>
      <x:c r="P65" s="21" t="n">
        <x:v>48</x:v>
      </x:c>
      <x:c r="Q65" s="21" t="n">
        <x:v>1</x:v>
      </x:c>
      <x:c r="R65" s="21" t="n">
        <x:v>1</x:v>
      </x:c>
      <x:c r="S65" s="17" t="str">
        <x:v>대덕구 중식</x:v>
      </x:c>
      <x:c r="T65" s="22" t="n">
        <x:v>36.3524002</x:v>
      </x:c>
      <x:c r="U65" s="22" t="n">
        <x:v>127.4246479</x:v>
      </x:c>
    </x:row>
    <x:row r="66" ht="32" customHeight="1">
      <x:c r="A66" s="18" t="str">
        <x:v>pending</x:v>
      </x:c>
      <x:c r="B66" s="18" t="str">
        <x:v>대덕구</x:v>
      </x:c>
      <x:c r="C66" s="17" t="str">
        <x:v>김밥신화</x:v>
      </x:c>
      <x:c r="D66" s="17" t="str">
        <x:v>분식&gt;김밥</x:v>
      </x:c>
      <x:c r="E66" s="19" t="n">
        <x:v>51</x:v>
      </x:c>
      <x:c r="F66" s="17" t="str">
        <x:v>최근 12개월 블로그 100건</x:v>
      </x:c>
      <x:c r="G66" s="17" t="str">
        <x:v>대전광역시 대덕구 중리동 384-5</x:v>
      </x:c>
      <x:c r="H66" s="17" t="str">
        <x:v>대전광역시 대덕구 중리로 51</x:v>
      </x:c>
      <x:c r="I66" s="18" t="e">
        <x:f>HYPERLINK("https://search.naver.com/search.naver?where=blog&amp;query=%EA%B9%80%EB%B0%A5%EC%8B%A0%ED%99%94+%EB%8C%80%EB%8D%95%EA%B5%AC","블로그 보기")</x:f>
        <x:v>HYPERLINK is not implemented. linkLocation=https://search.naver.com/search.naver?where=blog&amp;query=%EA%B9%80%EB%B0%A5%EC%8B%A0%ED%99%94+%EB%8C%80%EB%8D%95%EA%B5%AC, friendlyName=블로그 보기</x:v>
      </x:c>
      <x:c r="J66" s="18" t="str"/>
      <x:c r="K66" s="18" t="str"/>
      <x:c r="L66" s="17" t="str"/>
      <x:c r="M66" s="20" t="n">
        <x:v>46220</x:v>
      </x:c>
      <x:c r="N66" s="21" t="n">
        <x:v>100</x:v>
      </x:c>
      <x:c r="O66" s="21" t="n">
        <x:v>100</x:v>
      </x:c>
      <x:c r="P66" s="21" t="n">
        <x:v>347</x:v>
      </x:c>
      <x:c r="Q66" s="21" t="n">
        <x:v>1</x:v>
      </x:c>
      <x:c r="R66" s="21" t="n">
        <x:v>0</x:v>
      </x:c>
      <x:c r="S66" s="17" t="str">
        <x:v>대덕구 분식</x:v>
      </x:c>
      <x:c r="T66" s="22" t="n">
        <x:v>36.363657</x:v>
      </x:c>
      <x:c r="U66" s="22" t="n">
        <x:v>127.4250173</x:v>
      </x:c>
    </x:row>
    <x:row r="67" ht="32" customHeight="1">
      <x:c r="A67" s="18" t="str">
        <x:v>pending</x:v>
      </x:c>
      <x:c r="B67" s="18" t="str">
        <x:v>대덕구</x:v>
      </x:c>
      <x:c r="C67" s="17" t="str">
        <x:v>양지면옥</x:v>
      </x:c>
      <x:c r="D67" s="17" t="str">
        <x:v>한식&gt;냉면</x:v>
      </x:c>
      <x:c r="E67" s="19" t="n">
        <x:v>51</x:v>
      </x:c>
      <x:c r="F67" s="17" t="str">
        <x:v>최근 12개월 블로그 100건</x:v>
      </x:c>
      <x:c r="G67" s="17" t="str">
        <x:v>대전광역시 대덕구 중리동 200-1 1층</x:v>
      </x:c>
      <x:c r="H67" s="17" t="str">
        <x:v>대전광역시 대덕구 중리동로17번길 39-1 1층</x:v>
      </x:c>
      <x:c r="I67" s="18" t="e">
        <x:f>HYPERLINK("https://search.naver.com/search.naver?where=blog&amp;query=%EC%96%91%EC%A7%80%EB%A9%B4%EC%98%A5+%EC%A4%91%EB%A6%AC%EB%8F%99","블로그 보기")</x:f>
        <x:v>HYPERLINK is not implemented. linkLocation=https://search.naver.com/search.naver?where=blog&amp;query=%EC%96%91%EC%A7%80%EB%A9%B4%EC%98%A5+%EC%A4%91%EB%A6%AC%EB%8F%99, friendlyName=블로그 보기</x:v>
      </x:c>
      <x:c r="J67" s="18" t="str"/>
      <x:c r="K67" s="18" t="str"/>
      <x:c r="L67" s="17" t="str"/>
      <x:c r="M67" s="20" t="n">
        <x:v>46220</x:v>
      </x:c>
      <x:c r="N67" s="21" t="n">
        <x:v>100</x:v>
      </x:c>
      <x:c r="O67" s="21" t="n">
        <x:v>99</x:v>
      </x:c>
      <x:c r="P67" s="21" t="n">
        <x:v>277</x:v>
      </x:c>
      <x:c r="Q67" s="21" t="n">
        <x:v>1</x:v>
      </x:c>
      <x:c r="R67" s="21" t="n">
        <x:v>0</x:v>
      </x:c>
      <x:c r="S67" s="17" t="str">
        <x:v>대덕구 냉면</x:v>
      </x:c>
      <x:c r="T67" s="22" t="n">
        <x:v>36.360389</x:v>
      </x:c>
      <x:c r="U67" s="22" t="n">
        <x:v>127.4277356</x:v>
      </x:c>
    </x:row>
    <x:row r="68" ht="32" customHeight="1">
      <x:c r="A68" s="18" t="str">
        <x:v>pending</x:v>
      </x:c>
      <x:c r="B68" s="18" t="str">
        <x:v>대덕구</x:v>
      </x:c>
      <x:c r="C68" s="17" t="str">
        <x:v>왕짬뽕순두부</x:v>
      </x:c>
      <x:c r="D68" s="17" t="str">
        <x:v>중식&gt;중식당</x:v>
      </x:c>
      <x:c r="E68" s="19" t="n">
        <x:v>51</x:v>
      </x:c>
      <x:c r="F68" s="17" t="str">
        <x:v>최근 12개월 블로그 57건</x:v>
      </x:c>
      <x:c r="G68" s="17" t="str">
        <x:v>대전광역시 대덕구 비래동 125-12 1층 왕짬뽕순두부</x:v>
      </x:c>
      <x:c r="H68" s="17" t="str">
        <x:v>대전광역시 대덕구 비래서로 25 1층 왕짬뽕순두부</x:v>
      </x:c>
      <x:c r="I68" s="18" t="e">
        <x:f>HYPERLINK("https://search.naver.com/search.naver?where=blog&amp;query=%EC%99%95%EC%A7%AC%EB%BD%95%EC%88%9C%EB%91%90%EB%B6%80+%EB%8C%80%EB%8D%95%EA%B5%AC","블로그 보기")</x:f>
        <x:v>HYPERLINK is not implemented. linkLocation=https://search.naver.com/search.naver?where=blog&amp;query=%EC%99%95%EC%A7%AC%EB%BD%95%EC%88%9C%EB%91%90%EB%B6%80+%EB%8C%80%EB%8D%95%EA%B5%AC, friendlyName=블로그 보기</x:v>
      </x:c>
      <x:c r="J68" s="18" t="str"/>
      <x:c r="K68" s="18" t="str"/>
      <x:c r="L68" s="17" t="str"/>
      <x:c r="M68" s="20" t="n">
        <x:v>46213</x:v>
      </x:c>
      <x:c r="N68" s="21" t="n">
        <x:v>57</x:v>
      </x:c>
      <x:c r="O68" s="21" t="n">
        <x:v>99</x:v>
      </x:c>
      <x:c r="P68" s="21" t="n">
        <x:v>277</x:v>
      </x:c>
      <x:c r="Q68" s="21" t="n">
        <x:v>1</x:v>
      </x:c>
      <x:c r="R68" s="21" t="n">
        <x:v>0</x:v>
      </x:c>
      <x:c r="S68" s="17" t="str">
        <x:v>비래동 맛집</x:v>
      </x:c>
      <x:c r="T68" s="22" t="n">
        <x:v>36.354792</x:v>
      </x:c>
      <x:c r="U68" s="22" t="n">
        <x:v>127.4476491</x:v>
      </x:c>
    </x:row>
    <x:row r="69" ht="32" customHeight="1">
      <x:c r="A69" s="18" t="str">
        <x:v>pending</x:v>
      </x:c>
      <x:c r="B69" s="18" t="str">
        <x:v>대덕구</x:v>
      </x:c>
      <x:c r="C69" s="17" t="str">
        <x:v>우리손칼국수</x:v>
      </x:c>
      <x:c r="D69" s="17" t="str">
        <x:v>한식&gt;칼국수,만두</x:v>
      </x:c>
      <x:c r="E69" s="19" t="n">
        <x:v>51</x:v>
      </x:c>
      <x:c r="F69" s="17" t="str">
        <x:v>지역성: 칼국수; 최근 12개월 블로그 5건</x:v>
      </x:c>
      <x:c r="G69" s="17" t="str">
        <x:v>대전광역시 대덕구 송촌동 506-2</x:v>
      </x:c>
      <x:c r="H69" s="17" t="str">
        <x:v>대전광역시 대덕구 선비마을로 9</x:v>
      </x:c>
      <x:c r="I69" s="18" t="e">
        <x:f>HYPERLINK("https://search.naver.com/search.naver?where=blog&amp;query=%EC%9A%B0%EB%A6%AC%EC%86%90%EC%B9%BC%EA%B5%AD%EC%88%98+%EB%8C%80%EB%8D%95%EA%B5%AC","블로그 보기")</x:f>
        <x:v>HYPERLINK is not implemented. linkLocation=https://search.naver.com/search.naver?where=blog&amp;query=%EC%9A%B0%EB%A6%AC%EC%86%90%EC%B9%BC%EA%B5%AD%EC%88%98+%EB%8C%80%EB%8D%95%EA%B5%AC, friendlyName=블로그 보기</x:v>
      </x:c>
      <x:c r="J69" s="18" t="str"/>
      <x:c r="K69" s="18" t="str"/>
      <x:c r="L69" s="17" t="str"/>
      <x:c r="M69" s="20" t="n">
        <x:v>46190</x:v>
      </x:c>
      <x:c r="N69" s="21" t="n">
        <x:v>5</x:v>
      </x:c>
      <x:c r="O69" s="21" t="n">
        <x:v>28</x:v>
      </x:c>
      <x:c r="P69" s="21" t="n">
        <x:v>29</x:v>
      </x:c>
      <x:c r="Q69" s="21" t="n">
        <x:v>1</x:v>
      </x:c>
      <x:c r="R69" s="21" t="n">
        <x:v>1</x:v>
      </x:c>
      <x:c r="S69" s="17" t="str">
        <x:v>대덕구 두부두루치기</x:v>
      </x:c>
      <x:c r="T69" s="22" t="n">
        <x:v>36.362283</x:v>
      </x:c>
      <x:c r="U69" s="22" t="n">
        <x:v>127.446128</x:v>
      </x:c>
    </x:row>
    <x:row r="70" ht="32" customHeight="1">
      <x:c r="A70" s="18" t="str">
        <x:v>pending</x:v>
      </x:c>
      <x:c r="B70" s="18" t="str">
        <x:v>대덕구</x:v>
      </x:c>
      <x:c r="C70" s="17" t="str">
        <x:v>태안반도 포항물회</x:v>
      </x:c>
      <x:c r="D70" s="17" t="str">
        <x:v>음식점&gt;일식&gt;일식당</x:v>
      </x:c>
      <x:c r="E70" s="19" t="n">
        <x:v>51</x:v>
      </x:c>
      <x:c r="F70" s="17" t="str">
        <x:v>최근 12개월 블로그 78건</x:v>
      </x:c>
      <x:c r="G70" s="17" t="str">
        <x:v>대전광역시 대덕구 중리동 198-9</x:v>
      </x:c>
      <x:c r="H70" s="17" t="str">
        <x:v>대전광역시 대덕구 중리동로3번길 22</x:v>
      </x:c>
      <x:c r="I70" s="18" t="e">
        <x:f>HYPERLINK("https://search.naver.com/search.naver?where=blog&amp;query=%ED%83%9C%EC%95%88%EB%B0%98%EB%8F%84+%ED%8F%AC%ED%95%AD%EB%AC%BC%ED%9A%8C+%EC%A4%91%EB%A6%AC%EB%8F%99","블로그 보기")</x:f>
        <x:v>HYPERLINK is not implemented. linkLocation=https://search.naver.com/search.naver?where=blog&amp;query=%ED%83%9C%EC%95%88%EB%B0%98%EB%8F%84+%ED%8F%AC%ED%95%AD%EB%AC%BC%ED%9A%8C+%EC%A4%91%EB%A6%AC%EB%8F%99, friendlyName=블로그 보기</x:v>
      </x:c>
      <x:c r="J70" s="18" t="str"/>
      <x:c r="K70" s="18" t="str"/>
      <x:c r="L70" s="17" t="str"/>
      <x:c r="M70" s="20" t="n">
        <x:v>46222</x:v>
      </x:c>
      <x:c r="N70" s="21" t="n">
        <x:v>78</x:v>
      </x:c>
      <x:c r="O70" s="21" t="n">
        <x:v>96</x:v>
      </x:c>
      <x:c r="P70" s="21" t="n">
        <x:v>342</x:v>
      </x:c>
      <x:c r="Q70" s="21" t="n">
        <x:v>1</x:v>
      </x:c>
      <x:c r="R70" s="21" t="n">
        <x:v>0</x:v>
      </x:c>
      <x:c r="S70" s="17" t="str">
        <x:v>대덕구 일식</x:v>
      </x:c>
      <x:c r="T70" s="22" t="n">
        <x:v>36.359544</x:v>
      </x:c>
      <x:c r="U70" s="22" t="n">
        <x:v>127.4286418</x:v>
      </x:c>
    </x:row>
    <x:row r="71" ht="32" customHeight="1">
      <x:c r="A71" s="18" t="str">
        <x:v>pending</x:v>
      </x:c>
      <x:c r="B71" s="18" t="str">
        <x:v>대덕구</x:v>
      </x:c>
      <x:c r="C71" s="17" t="str">
        <x:v>팔도한마당순대</x:v>
      </x:c>
      <x:c r="D71" s="17" t="str">
        <x:v>한식&gt;순대,순댓국</x:v>
      </x:c>
      <x:c r="E71" s="19" t="n">
        <x:v>51</x:v>
      </x:c>
      <x:c r="F71" s="17" t="str">
        <x:v>최근 12개월 블로그 81건</x:v>
      </x:c>
      <x:c r="G71" s="17" t="str">
        <x:v>대전광역시 대덕구 목상동 863-2 팔도한마당순대</x:v>
      </x:c>
      <x:c r="H71" s="17" t="str">
        <x:v>대전광역시 대덕구 대덕대로1448번길 73 팔도한마당순대</x:v>
      </x:c>
      <x:c r="I71" s="18" t="e">
        <x:f>HYPERLINK("https://search.naver.com/search.naver?where=blog&amp;query=%ED%8C%94%EB%8F%84%ED%95%9C%EB%A7%88%EB%8B%B9%EC%88%9C%EB%8C%80+%EB%8C%80%EB%8D%95%EA%B5%AC","블로그 보기")</x:f>
        <x:v>HYPERLINK is not implemented. linkLocation=https://search.naver.com/search.naver?where=blog&amp;query=%ED%8C%94%EB%8F%84%ED%95%9C%EB%A7%88%EB%8B%B9%EC%88%9C%EB%8C%80+%EB%8C%80%EB%8D%95%EA%B5%AC, friendlyName=블로그 보기</x:v>
      </x:c>
      <x:c r="J71" s="18" t="str"/>
      <x:c r="K71" s="18" t="str"/>
      <x:c r="L71" s="17" t="str"/>
      <x:c r="M71" s="20" t="n">
        <x:v>46217</x:v>
      </x:c>
      <x:c r="N71" s="21" t="n">
        <x:v>81</x:v>
      </x:c>
      <x:c r="O71" s="21" t="n">
        <x:v>81</x:v>
      </x:c>
      <x:c r="P71" s="21" t="n">
        <x:v>291</x:v>
      </x:c>
      <x:c r="Q71" s="21" t="n">
        <x:v>1</x:v>
      </x:c>
      <x:c r="R71" s="21" t="n">
        <x:v>0</x:v>
      </x:c>
      <x:c r="S71" s="17" t="str">
        <x:v>신탄진 국밥</x:v>
      </x:c>
      <x:c r="T71" s="22" t="n">
        <x:v>36.4446643</x:v>
      </x:c>
      <x:c r="U71" s="22" t="n">
        <x:v>127.4105268</x:v>
      </x:c>
    </x:row>
    <x:row r="72" ht="32" customHeight="1">
      <x:c r="A72" s="18" t="str">
        <x:v>pending</x:v>
      </x:c>
      <x:c r="B72" s="18" t="str">
        <x:v>대덕구</x:v>
      </x:c>
      <x:c r="C72" s="17" t="str">
        <x:v>금강옥천올갱이</x:v>
      </x:c>
      <x:c r="D72" s="17" t="str">
        <x:v>음식점&gt;한식</x:v>
      </x:c>
      <x:c r="E72" s="19" t="n">
        <x:v>50</x:v>
      </x:c>
      <x:c r="F72" s="17" t="str">
        <x:v>최근 12개월 블로그 48건</x:v>
      </x:c>
      <x:c r="G72" s="17" t="str">
        <x:v>대전광역시 대덕구 송촌동 565-5</x:v>
      </x:c>
      <x:c r="H72" s="17" t="str">
        <x:v>대전광역시 대덕구 동춘당로15번길 90</x:v>
      </x:c>
      <x:c r="I72" s="18" t="e">
        <x:f>HYPERLINK("https://search.naver.com/search.naver?where=blog&amp;query=%EA%B8%88%EA%B0%95%EC%98%A5%EC%B2%9C%EC%98%AC%EA%B0%B1%EC%9D%B4+%EB%8C%80%EB%8D%95%EA%B5%AC","블로그 보기")</x:f>
        <x:v>HYPERLINK is not implemented. linkLocation=https://search.naver.com/search.naver?where=blog&amp;query=%EA%B8%88%EA%B0%95%EC%98%A5%EC%B2%9C%EC%98%AC%EA%B0%B1%EC%9D%B4+%EB%8C%80%EB%8D%95%EA%B5%AC, friendlyName=블로그 보기</x:v>
      </x:c>
      <x:c r="J72" s="18" t="str"/>
      <x:c r="K72" s="18" t="str"/>
      <x:c r="L72" s="17" t="str"/>
      <x:c r="M72" s="20" t="n">
        <x:v>46215</x:v>
      </x:c>
      <x:c r="N72" s="21" t="n">
        <x:v>48</x:v>
      </x:c>
      <x:c r="O72" s="21" t="n">
        <x:v>91</x:v>
      </x:c>
      <x:c r="P72" s="21" t="n">
        <x:v>173</x:v>
      </x:c>
      <x:c r="Q72" s="21" t="n">
        <x:v>1</x:v>
      </x:c>
      <x:c r="R72" s="21" t="n">
        <x:v>0</x:v>
      </x:c>
      <x:c r="S72" s="17" t="str">
        <x:v>대덕구 국밥</x:v>
      </x:c>
      <x:c r="T72" s="22" t="n">
        <x:v>36.3570943</x:v>
      </x:c>
      <x:c r="U72" s="22" t="n">
        <x:v>127.4447033</x:v>
      </x:c>
    </x:row>
    <x:row r="73" ht="32" customHeight="1">
      <x:c r="A73" s="18" t="str">
        <x:v>pending</x:v>
      </x:c>
      <x:c r="B73" s="18" t="str">
        <x:v>대덕구</x:v>
      </x:c>
      <x:c r="C73" s="17" t="str">
        <x:v>미강손짜장</x:v>
      </x:c>
      <x:c r="D73" s="17" t="str">
        <x:v>중식&gt;중식당</x:v>
      </x:c>
      <x:c r="E73" s="19" t="n">
        <x:v>50</x:v>
      </x:c>
      <x:c r="F73" s="17" t="str">
        <x:v>최근 12개월 블로그 13건</x:v>
      </x:c>
      <x:c r="G73" s="17" t="str">
        <x:v>대전광역시 대덕구 덕암동 62-29</x:v>
      </x:c>
      <x:c r="H73" s="17" t="str">
        <x:v>대전광역시 대덕구 덕암로181번길 19</x:v>
      </x:c>
      <x:c r="I73" s="18" t="e">
        <x:f>HYPERLINK("https://search.naver.com/search.naver?where=blog&amp;query=%EB%AF%B8%EA%B0%95%EC%86%90%EC%A7%9C%EC%9E%A5+%EB%8C%80%EB%8D%95%EA%B5%AC","블로그 보기")</x:f>
        <x:v>HYPERLINK is not implemented. linkLocation=https://search.naver.com/search.naver?where=blog&amp;query=%EB%AF%B8%EA%B0%95%EC%86%90%EC%A7%9C%EC%9E%A5+%EB%8C%80%EB%8D%95%EA%B5%AC, friendlyName=블로그 보기</x:v>
      </x:c>
      <x:c r="J73" s="18" t="e">
        <x:f>HYPERLINK("https://www.instagram.com/p/CIuQqKNlYFt/?igshid=1tufzivnygrls","업체 보기")</x:f>
        <x:v>HYPERLINK is not implemented. linkLocation=https://www.instagram.com/p/CIuQqKNlYFt/?igshid=1tufzivnygrls, friendlyName=업체 보기</x:v>
      </x:c>
      <x:c r="K73" s="18" t="str"/>
      <x:c r="L73" s="17" t="str"/>
      <x:c r="M73" s="20" t="n">
        <x:v>46156</x:v>
      </x:c>
      <x:c r="N73" s="21" t="n">
        <x:v>13</x:v>
      </x:c>
      <x:c r="O73" s="21" t="n">
        <x:v>88</x:v>
      </x:c>
      <x:c r="P73" s="21" t="n">
        <x:v>136</x:v>
      </x:c>
      <x:c r="Q73" s="21" t="n">
        <x:v>1</x:v>
      </x:c>
      <x:c r="R73" s="21" t="n">
        <x:v>0</x:v>
      </x:c>
      <x:c r="S73" s="17" t="str">
        <x:v>신탄진 중식</x:v>
      </x:c>
      <x:c r="T73" s="22" t="n">
        <x:v>36.436698</x:v>
      </x:c>
      <x:c r="U73" s="22" t="n">
        <x:v>127.4215548</x:v>
      </x:c>
    </x:row>
    <x:row r="74" ht="32" customHeight="1">
      <x:c r="A74" s="18" t="str">
        <x:v>pending</x:v>
      </x:c>
      <x:c r="B74" s="18" t="str">
        <x:v>대덕구</x:v>
      </x:c>
      <x:c r="C74" s="17" t="str">
        <x:v>부뜰생고기</x:v>
      </x:c>
      <x:c r="D74" s="17" t="str">
        <x:v>음식점&gt;한식</x:v>
      </x:c>
      <x:c r="E74" s="19" t="n">
        <x:v>50</x:v>
      </x:c>
      <x:c r="F74" s="17" t="str">
        <x:v>최근 12개월 블로그 66건</x:v>
      </x:c>
      <x:c r="G74" s="17" t="str">
        <x:v>대전광역시 대덕구 비래동 129-7 1층</x:v>
      </x:c>
      <x:c r="H74" s="17" t="str">
        <x:v>대전광역시 대덕구 비래동로31번길 6 1층 (비래동)</x:v>
      </x:c>
      <x:c r="I74" s="18" t="e">
        <x:f>HYPERLINK("https://search.naver.com/search.naver?where=blog&amp;query=%EB%B6%80%EB%9C%B0%EC%83%9D%EA%B3%A0%EA%B8%B0+%EB%B9%84%EB%9E%98%EB%8F%99","블로그 보기")</x:f>
        <x:v>HYPERLINK is not implemented. linkLocation=https://search.naver.com/search.naver?where=blog&amp;query=%EB%B6%80%EB%9C%B0%EC%83%9D%EA%B3%A0%EA%B8%B0+%EB%B9%84%EB%9E%98%EB%8F%99, friendlyName=블로그 보기</x:v>
      </x:c>
      <x:c r="J74" s="18" t="str"/>
      <x:c r="K74" s="18" t="str"/>
      <x:c r="L74" s="17" t="str"/>
      <x:c r="M74" s="20" t="n">
        <x:v>46220</x:v>
      </x:c>
      <x:c r="N74" s="21" t="n">
        <x:v>66</x:v>
      </x:c>
      <x:c r="O74" s="21" t="n">
        <x:v>95</x:v>
      </x:c>
      <x:c r="P74" s="21" t="n">
        <x:v>167</x:v>
      </x:c>
      <x:c r="Q74" s="21" t="n">
        <x:v>1</x:v>
      </x:c>
      <x:c r="R74" s="21" t="n">
        <x:v>0</x:v>
      </x:c>
      <x:c r="S74" s="17" t="str">
        <x:v>비래동 한식</x:v>
      </x:c>
      <x:c r="T74" s="22" t="n">
        <x:v>36.3568397</x:v>
      </x:c>
      <x:c r="U74" s="22" t="n">
        <x:v>127.4504647</x:v>
      </x:c>
    </x:row>
    <x:row r="75" ht="32" customHeight="1">
      <x:c r="A75" s="18" t="str">
        <x:v>pending</x:v>
      </x:c>
      <x:c r="B75" s="18" t="str">
        <x:v>대덕구</x:v>
      </x:c>
      <x:c r="C75" s="17" t="str">
        <x:v>수통골염소명가 중리직영점</x:v>
      </x:c>
      <x:c r="D75" s="17" t="str">
        <x:v>음식점&gt;한식</x:v>
      </x:c>
      <x:c r="E75" s="19" t="n">
        <x:v>50</x:v>
      </x:c>
      <x:c r="F75" s="17" t="str">
        <x:v>최근 12개월 블로그 100건</x:v>
      </x:c>
      <x:c r="G75" s="17" t="str">
        <x:v>대전광역시 대덕구 중리동 368-23 수통골염소명가 중리직영점</x:v>
      </x:c>
      <x:c r="H75" s="17" t="str">
        <x:v>대전광역시 대덕구 중리로64번길 3 수통골염소명가 중리직영점</x:v>
      </x:c>
      <x:c r="I75" s="18" t="e">
        <x:f>HYPERLINK("https://search.naver.com/search.naver?where=blog&amp;query=%EC%88%98%ED%86%B5%EA%B3%A8%EC%97%BC%EC%86%8C%EB%AA%85%EA%B0%80+%EC%A4%91%EB%A6%AC%EC%A7%81%EC%98%81%EC%A0%90+%EB%8C%80%EB%8D%95%EA%B5%AC","블로그 보기")</x:f>
        <x:v>HYPERLINK is not implemented. linkLocation=https://search.naver.com/search.naver?where=blog&amp;query=%EC%88%98%ED%86%B5%EA%B3%A8%EC%97%BC%EC%86%8C%EB%AA%85%EA%B0%80+%EC%A4%91%EB%A6%AC%EC%A7%81%EC%98%81%EC%A0%90+%EB%8C%80%EB%8D%95%EA%B5%AC, friendlyName=블로그 보기</x:v>
      </x:c>
      <x:c r="J75" s="18" t="str"/>
      <x:c r="K75" s="18" t="str"/>
      <x:c r="L75" s="17" t="str"/>
      <x:c r="M75" s="20" t="n">
        <x:v>46220</x:v>
      </x:c>
      <x:c r="N75" s="21" t="n">
        <x:v>100</x:v>
      </x:c>
      <x:c r="O75" s="21" t="n">
        <x:v>91</x:v>
      </x:c>
      <x:c r="P75" s="21" t="n">
        <x:v>177</x:v>
      </x:c>
      <x:c r="Q75" s="21" t="n">
        <x:v>1</x:v>
      </x:c>
      <x:c r="R75" s="21" t="n">
        <x:v>0</x:v>
      </x:c>
      <x:c r="S75" s="17" t="str">
        <x:v>대덕구 삼계탕</x:v>
      </x:c>
      <x:c r="T75" s="22" t="n">
        <x:v>36.3649259</x:v>
      </x:c>
      <x:c r="U75" s="22" t="n">
        <x:v>127.4254553</x:v>
      </x:c>
    </x:row>
    <x:row r="76" ht="32" customHeight="1">
      <x:c r="A76" s="18" t="str">
        <x:v>pending</x:v>
      </x:c>
      <x:c r="B76" s="18" t="str">
        <x:v>대덕구</x:v>
      </x:c>
      <x:c r="C76" s="17" t="str">
        <x:v>청원삼계탕</x:v>
      </x:c>
      <x:c r="D76" s="17" t="str">
        <x:v>음식점&gt;한식</x:v>
      </x:c>
      <x:c r="E76" s="19" t="n">
        <x:v>50</x:v>
      </x:c>
      <x:c r="F76" s="17" t="str">
        <x:v>최근 12개월 블로그 35건</x:v>
      </x:c>
      <x:c r="G76" s="17" t="str">
        <x:v>대전광역시 대덕구 중리동 389-1 1층</x:v>
      </x:c>
      <x:c r="H76" s="17" t="str">
        <x:v>대전광역시 대덕구 중리로44번길 16 1층</x:v>
      </x:c>
      <x:c r="I76" s="18" t="e">
        <x:f>HYPERLINK("https://search.naver.com/search.naver?where=blog&amp;query=%EC%B2%AD%EC%9B%90%EC%82%BC%EA%B3%84%ED%83%95+%EB%8C%80%EB%8D%95%EA%B5%AC","블로그 보기")</x:f>
        <x:v>HYPERLINK is not implemented. linkLocation=https://search.naver.com/search.naver?where=blog&amp;query=%EC%B2%AD%EC%9B%90%EC%82%BC%EA%B3%84%ED%83%95+%EB%8C%80%EB%8D%95%EA%B5%AC, friendlyName=블로그 보기</x:v>
      </x:c>
      <x:c r="J76" s="18" t="str"/>
      <x:c r="K76" s="18" t="str"/>
      <x:c r="L76" s="17" t="str"/>
      <x:c r="M76" s="20" t="n">
        <x:v>46161</x:v>
      </x:c>
      <x:c r="N76" s="21" t="n">
        <x:v>35</x:v>
      </x:c>
      <x:c r="O76" s="21" t="n">
        <x:v>35</x:v>
      </x:c>
      <x:c r="P76" s="21" t="n">
        <x:v>118</x:v>
      </x:c>
      <x:c r="Q76" s="21" t="n">
        <x:v>1</x:v>
      </x:c>
      <x:c r="R76" s="21" t="n">
        <x:v>0</x:v>
      </x:c>
      <x:c r="S76" s="17" t="str">
        <x:v>대덕구 삼계탕</x:v>
      </x:c>
      <x:c r="T76" s="22" t="n">
        <x:v>36.3628473</x:v>
      </x:c>
      <x:c r="U76" s="22" t="n">
        <x:v>127.4261263</x:v>
      </x:c>
    </x:row>
    <x:row r="77" ht="32" customHeight="1">
      <x:c r="A77" s="18" t="str">
        <x:v>pending</x:v>
      </x:c>
      <x:c r="B77" s="18" t="str">
        <x:v>대덕구</x:v>
      </x:c>
      <x:c r="C77" s="17" t="str">
        <x:v>청춘테라스</x:v>
      </x:c>
      <x:c r="D77" s="17" t="str">
        <x:v>술집&gt;요리주점</x:v>
      </x:c>
      <x:c r="E77" s="19" t="n">
        <x:v>50</x:v>
      </x:c>
      <x:c r="F77" s="17" t="str">
        <x:v>최근 12개월 블로그 20건</x:v>
      </x:c>
      <x:c r="G77" s="17" t="str">
        <x:v>대전광역시 대덕구 비래동 125-43 1층</x:v>
      </x:c>
      <x:c r="H77" s="17" t="str">
        <x:v>대전광역시 대덕구 비래서로 27 1층</x:v>
      </x:c>
      <x:c r="I77" s="18" t="e">
        <x:f>HYPERLINK("https://search.naver.com/search.naver?where=blog&amp;query=%EC%B2%AD%EC%B6%98%ED%85%8C%EB%9D%BC%EC%8A%A4+%EB%8C%80%EB%8D%95%EA%B5%AC","블로그 보기")</x:f>
        <x:v>HYPERLINK is not implemented. linkLocation=https://search.naver.com/search.naver?where=blog&amp;query=%EC%B2%AD%EC%B6%98%ED%85%8C%EB%9D%BC%EC%8A%A4+%EB%8C%80%EB%8D%95%EA%B5%AC, friendlyName=블로그 보기</x:v>
      </x:c>
      <x:c r="J77" s="18" t="e">
        <x:f>HYPERLINK("http://instagram.com/cctrc2019","업체 보기")</x:f>
        <x:v>HYPERLINK is not implemented. linkLocation=http://instagram.com/cctrc2019, friendlyName=업체 보기</x:v>
      </x:c>
      <x:c r="K77" s="18" t="str"/>
      <x:c r="L77" s="17" t="str"/>
      <x:c r="M77" s="20" t="n">
        <x:v>46171</x:v>
      </x:c>
      <x:c r="N77" s="21" t="n">
        <x:v>20</x:v>
      </x:c>
      <x:c r="O77" s="21" t="n">
        <x:v>64</x:v>
      </x:c>
      <x:c r="P77" s="21" t="n">
        <x:v>161</x:v>
      </x:c>
      <x:c r="Q77" s="21" t="n">
        <x:v>1</x:v>
      </x:c>
      <x:c r="R77" s="21" t="n">
        <x:v>0</x:v>
      </x:c>
      <x:c r="S77" s="17" t="str">
        <x:v>대덕구 두부두루치기</x:v>
      </x:c>
      <x:c r="T77" s="22" t="n">
        <x:v>36.3547826</x:v>
      </x:c>
      <x:c r="U77" s="22" t="n">
        <x:v>127.4478121</x:v>
      </x:c>
    </x:row>
    <x:row r="78" ht="32" customHeight="1">
      <x:c r="A78" s="18" t="str">
        <x:v>pending</x:v>
      </x:c>
      <x:c r="B78" s="18" t="str">
        <x:v>대덕구</x:v>
      </x:c>
      <x:c r="C78" s="17" t="str">
        <x:v>필짬뽕</x:v>
      </x:c>
      <x:c r="D78" s="17" t="str">
        <x:v>중식&gt;중식당</x:v>
      </x:c>
      <x:c r="E78" s="19" t="n">
        <x:v>50</x:v>
      </x:c>
      <x:c r="F78" s="17" t="str">
        <x:v>최근 12개월 블로그 26건</x:v>
      </x:c>
      <x:c r="G78" s="17" t="str">
        <x:v>대전광역시 대덕구 오정동 488-18 필짬뽕</x:v>
      </x:c>
      <x:c r="H78" s="17" t="str">
        <x:v>대전광역시 대덕구 한남로137번길 43 필짬뽕</x:v>
      </x:c>
      <x:c r="I78" s="18" t="e">
        <x:f>HYPERLINK("https://search.naver.com/search.naver?where=blog&amp;query=%ED%95%84%EC%A7%AC%EB%BD%95+%EB%8C%80%EB%8D%95%EA%B5%AC","블로그 보기")</x:f>
        <x:v>HYPERLINK is not implemented. linkLocation=https://search.naver.com/search.naver?where=blog&amp;query=%ED%95%84%EC%A7%AC%EB%BD%95+%EB%8C%80%EB%8D%95%EA%B5%AC, friendlyName=블로그 보기</x:v>
      </x:c>
      <x:c r="J78" s="18" t="str"/>
      <x:c r="K78" s="18" t="str"/>
      <x:c r="L78" s="17" t="str"/>
      <x:c r="M78" s="20" t="n">
        <x:v>46220</x:v>
      </x:c>
      <x:c r="N78" s="21" t="n">
        <x:v>26</x:v>
      </x:c>
      <x:c r="O78" s="21" t="n">
        <x:v>98</x:v>
      </x:c>
      <x:c r="P78" s="21" t="n">
        <x:v>172</x:v>
      </x:c>
      <x:c r="Q78" s="21" t="n">
        <x:v>1</x:v>
      </x:c>
      <x:c r="R78" s="21" t="n">
        <x:v>0</x:v>
      </x:c>
      <x:c r="S78" s="17" t="str">
        <x:v>대덕구 중식</x:v>
      </x:c>
      <x:c r="T78" s="22" t="n">
        <x:v>36.3464075</x:v>
      </x:c>
      <x:c r="U78" s="22" t="n">
        <x:v>127.4170266</x:v>
      </x:c>
    </x:row>
    <x:row r="79" ht="32" customHeight="1">
      <x:c r="A79" s="18" t="str">
        <x:v>pending</x:v>
      </x:c>
      <x:c r="B79" s="18" t="str">
        <x:v>대덕구</x:v>
      </x:c>
      <x:c r="C79" s="17" t="str">
        <x:v>한성손짜장</x:v>
      </x:c>
      <x:c r="D79" s="17" t="str">
        <x:v>중식&gt;중식당</x:v>
      </x:c>
      <x:c r="E79" s="19" t="n">
        <x:v>50</x:v>
      </x:c>
      <x:c r="F79" s="17" t="str">
        <x:v>최근 12개월 블로그 85건</x:v>
      </x:c>
      <x:c r="G79" s="17" t="str">
        <x:v>대전광역시 대덕구 상서동 833-10</x:v>
      </x:c>
      <x:c r="H79" s="17" t="str">
        <x:v>대전광역시 대덕구 덕암로148번안길 24</x:v>
      </x:c>
      <x:c r="I79" s="18" t="e">
        <x:f>HYPERLINK("https://search.naver.com/search.naver?where=blog&amp;query=%ED%95%9C%EC%84%B1%EC%86%90%EC%A7%9C%EC%9E%A5+%EB%8C%80%EB%8D%95%EA%B5%AC","블로그 보기")</x:f>
        <x:v>HYPERLINK is not implemented. linkLocation=https://search.naver.com/search.naver?where=blog&amp;query=%ED%95%9C%EC%84%B1%EC%86%90%EC%A7%9C%EC%9E%A5+%EB%8C%80%EB%8D%95%EA%B5%AC, friendlyName=블로그 보기</x:v>
      </x:c>
      <x:c r="J79" s="18" t="str"/>
      <x:c r="K79" s="18" t="str"/>
      <x:c r="L79" s="17" t="str"/>
      <x:c r="M79" s="20" t="n">
        <x:v>46220</x:v>
      </x:c>
      <x:c r="N79" s="21" t="n">
        <x:v>85</x:v>
      </x:c>
      <x:c r="O79" s="21" t="n">
        <x:v>52</x:v>
      </x:c>
      <x:c r="P79" s="21" t="n">
        <x:v>148</x:v>
      </x:c>
      <x:c r="Q79" s="21" t="n">
        <x:v>1</x:v>
      </x:c>
      <x:c r="R79" s="21" t="n">
        <x:v>0</x:v>
      </x:c>
      <x:c r="S79" s="17" t="str">
        <x:v>신탄진 중식</x:v>
      </x:c>
      <x:c r="T79" s="22" t="n">
        <x:v>36.4336957</x:v>
      </x:c>
      <x:c r="U79" s="22" t="n">
        <x:v>127.4235691</x:v>
      </x:c>
    </x:row>
    <x:row r="80" ht="32" customHeight="1">
      <x:c r="A80" s="18" t="str">
        <x:v>pending</x:v>
      </x:c>
      <x:c r="B80" s="18" t="str">
        <x:v>대덕구</x:v>
      </x:c>
      <x:c r="C80" s="17" t="str">
        <x:v>황해면옥</x:v>
      </x:c>
      <x:c r="D80" s="17" t="str">
        <x:v>한식&gt;냉면</x:v>
      </x:c>
      <x:c r="E80" s="19" t="n">
        <x:v>50</x:v>
      </x:c>
      <x:c r="F80" s="17" t="str">
        <x:v>최근 12개월 블로그 76건</x:v>
      </x:c>
      <x:c r="G80" s="17" t="str">
        <x:v>대전광역시 대덕구 오정동 490-1</x:v>
      </x:c>
      <x:c r="H80" s="17" t="str">
        <x:v>대전광역시 대덕구 한남로149번길 1</x:v>
      </x:c>
      <x:c r="I80" s="18" t="e">
        <x:f>HYPERLINK("https://search.naver.com/search.naver?where=blog&amp;query=%ED%99%A9%ED%95%B4%EB%A9%B4%EC%98%A5+%EB%8C%80%EB%8D%95%EA%B5%AC","블로그 보기")</x:f>
        <x:v>HYPERLINK is not implemented. linkLocation=https://search.naver.com/search.naver?where=blog&amp;query=%ED%99%A9%ED%95%B4%EB%A9%B4%EC%98%A5+%EB%8C%80%EB%8D%95%EA%B5%AC, friendlyName=블로그 보기</x:v>
      </x:c>
      <x:c r="J80" s="18" t="str"/>
      <x:c r="K80" s="18" t="str"/>
      <x:c r="L80" s="17" t="str"/>
      <x:c r="M80" s="20" t="n">
        <x:v>46220</x:v>
      </x:c>
      <x:c r="N80" s="21" t="n">
        <x:v>76</x:v>
      </x:c>
      <x:c r="O80" s="21" t="n">
        <x:v>88</x:v>
      </x:c>
      <x:c r="P80" s="21" t="n">
        <x:v>180</x:v>
      </x:c>
      <x:c r="Q80" s="21" t="n">
        <x:v>1</x:v>
      </x:c>
      <x:c r="R80" s="21" t="n">
        <x:v>0</x:v>
      </x:c>
      <x:c r="S80" s="17" t="str">
        <x:v>대덕구 냉면</x:v>
      </x:c>
      <x:c r="T80" s="22" t="n">
        <x:v>36.3470398</x:v>
      </x:c>
      <x:c r="U80" s="22" t="n">
        <x:v>127.4143829</x:v>
      </x:c>
    </x:row>
    <x:row r="81" ht="32" customHeight="1">
      <x:c r="A81" s="18" t="str">
        <x:v>pending</x:v>
      </x:c>
      <x:c r="B81" s="18" t="str">
        <x:v>대덕구</x:v>
      </x:c>
      <x:c r="C81" s="17" t="str">
        <x:v>회포</x:v>
      </x:c>
      <x:c r="D81" s="17" t="str">
        <x:v>한식&gt;생선회</x:v>
      </x:c>
      <x:c r="E81" s="19" t="n">
        <x:v>50</x:v>
      </x:c>
      <x:c r="F81" s="17" t="str">
        <x:v>최근 12개월 블로그 46건</x:v>
      </x:c>
      <x:c r="G81" s="17" t="str">
        <x:v>대전광역시 대덕구 송촌동 453-7 1층</x:v>
      </x:c>
      <x:c r="H81" s="17" t="str">
        <x:v>대전광역시 대덕구 송촌북로20번길 21-5 1층</x:v>
      </x:c>
      <x:c r="I81" s="18" t="e">
        <x:f>HYPERLINK("https://search.naver.com/search.naver?where=blog&amp;query=%ED%9A%8C%ED%8F%AC+%EB%8C%80%EB%8D%95%EA%B5%AC","블로그 보기")</x:f>
        <x:v>HYPERLINK is not implemented. linkLocation=https://search.naver.com/search.naver?where=blog&amp;query=%ED%9A%8C%ED%8F%AC+%EB%8C%80%EB%8D%95%EA%B5%AC, friendlyName=블로그 보기</x:v>
      </x:c>
      <x:c r="J81" s="18" t="str"/>
      <x:c r="K81" s="18" t="str"/>
      <x:c r="L81" s="17" t="str"/>
      <x:c r="M81" s="20" t="n">
        <x:v>46213</x:v>
      </x:c>
      <x:c r="N81" s="21" t="n">
        <x:v>46</x:v>
      </x:c>
      <x:c r="O81" s="21" t="n">
        <x:v>89</x:v>
      </x:c>
      <x:c r="P81" s="21" t="n">
        <x:v>178</x:v>
      </x:c>
      <x:c r="Q81" s="21" t="n">
        <x:v>1</x:v>
      </x:c>
      <x:c r="R81" s="21" t="n">
        <x:v>0</x:v>
      </x:c>
      <x:c r="S81" s="17" t="str">
        <x:v>대덕구 해산물</x:v>
      </x:c>
      <x:c r="T81" s="22" t="n">
        <x:v>36.3646295</x:v>
      </x:c>
      <x:c r="U81" s="22" t="n">
        <x:v>127.4375729</x:v>
      </x:c>
    </x:row>
    <x:row r="82" ht="32" customHeight="1">
      <x:c r="A82" s="18" t="str">
        <x:v>pending</x:v>
      </x:c>
      <x:c r="B82" s="18" t="str">
        <x:v>대덕구</x:v>
      </x:c>
      <x:c r="C82" s="17" t="str">
        <x:v>가마솥해장국</x:v>
      </x:c>
      <x:c r="D82" s="17" t="str">
        <x:v>한식&gt;해장국</x:v>
      </x:c>
      <x:c r="E82" s="19" t="n">
        <x:v>49</x:v>
      </x:c>
      <x:c r="F82" s="17" t="str">
        <x:v>최근 12개월 블로그 21건</x:v>
      </x:c>
      <x:c r="G82" s="17" t="str">
        <x:v>대전광역시 대덕구 신일동 37-1</x:v>
      </x:c>
      <x:c r="H82" s="17" t="str">
        <x:v>대전광역시 대덕구 산업단지로87번길 13</x:v>
      </x:c>
      <x:c r="I82" s="18" t="e">
        <x:f>HYPERLINK("https://search.naver.com/search.naver?where=blog&amp;query=%EA%B0%80%EB%A7%88%EC%86%A5%ED%95%B4%EC%9E%A5%EA%B5%AD+%EB%8C%80%EB%8D%95%EA%B5%AC","블로그 보기")</x:f>
        <x:v>HYPERLINK is not implemented. linkLocation=https://search.naver.com/search.naver?where=blog&amp;query=%EA%B0%80%EB%A7%88%EC%86%A5%ED%95%B4%EC%9E%A5%EA%B5%AD+%EB%8C%80%EB%8D%95%EA%B5%AC, friendlyName=블로그 보기</x:v>
      </x:c>
      <x:c r="J82" s="18" t="str"/>
      <x:c r="K82" s="18" t="str"/>
      <x:c r="L82" s="17" t="str"/>
      <x:c r="M82" s="20" t="n">
        <x:v>46193</x:v>
      </x:c>
      <x:c r="N82" s="21" t="n">
        <x:v>21</x:v>
      </x:c>
      <x:c r="O82" s="21" t="n">
        <x:v>83</x:v>
      </x:c>
      <x:c r="P82" s="21" t="n">
        <x:v>95</x:v>
      </x:c>
      <x:c r="Q82" s="21" t="n">
        <x:v>1</x:v>
      </x:c>
      <x:c r="R82" s="21" t="n">
        <x:v>0</x:v>
      </x:c>
      <x:c r="S82" s="17" t="str">
        <x:v>신탄진 국밥</x:v>
      </x:c>
      <x:c r="T82" s="22" t="n">
        <x:v>36.4296595</x:v>
      </x:c>
      <x:c r="U82" s="22" t="n">
        <x:v>127.4116929</x:v>
      </x:c>
    </x:row>
    <x:row r="83" ht="32" customHeight="1">
      <x:c r="A83" s="18" t="str">
        <x:v>pending</x:v>
      </x:c>
      <x:c r="B83" s="18" t="str">
        <x:v>대덕구</x:v>
      </x:c>
      <x:c r="C83" s="17" t="str">
        <x:v>김관식추어명장</x:v>
      </x:c>
      <x:c r="D83" s="17" t="str">
        <x:v>음식점&gt;한식</x:v>
      </x:c>
      <x:c r="E83" s="19" t="n">
        <x:v>49</x:v>
      </x:c>
      <x:c r="F83" s="17" t="str">
        <x:v>최근 12개월 블로그 45건</x:v>
      </x:c>
      <x:c r="G83" s="17" t="str">
        <x:v>대전광역시 대덕구 상서동 349-1</x:v>
      </x:c>
      <x:c r="H83" s="17" t="str">
        <x:v>대전광역시 대덕구 신탄진로 512</x:v>
      </x:c>
      <x:c r="I83" s="18" t="e">
        <x:f>HYPERLINK("https://search.naver.com/search.naver?where=blog&amp;query=%EA%B9%80%EA%B4%80%EC%8B%9D%EC%B6%94%EC%96%B4%EB%AA%85%EC%9E%A5+%EB%8C%80%EB%8D%95%EA%B5%AC","블로그 보기")</x:f>
        <x:v>HYPERLINK is not implemented. linkLocation=https://search.naver.com/search.naver?where=blog&amp;query=%EA%B9%80%EA%B4%80%EC%8B%9D%EC%B6%94%EC%96%B4%EB%AA%85%EC%9E%A5+%EB%8C%80%EB%8D%95%EA%B5%AC, friendlyName=블로그 보기</x:v>
      </x:c>
      <x:c r="J83" s="18" t="str"/>
      <x:c r="K83" s="18" t="str"/>
      <x:c r="L83" s="17" t="str"/>
      <x:c r="M83" s="20" t="n">
        <x:v>46221</x:v>
      </x:c>
      <x:c r="N83" s="21" t="n">
        <x:v>45</x:v>
      </x:c>
      <x:c r="O83" s="21" t="n">
        <x:v>40</x:v>
      </x:c>
      <x:c r="P83" s="21" t="n">
        <x:v>58</x:v>
      </x:c>
      <x:c r="Q83" s="21" t="n">
        <x:v>1</x:v>
      </x:c>
      <x:c r="R83" s="21" t="n">
        <x:v>0</x:v>
      </x:c>
      <x:c r="S83" s="17" t="str">
        <x:v>신탄진 한식</x:v>
      </x:c>
      <x:c r="T83" s="22" t="n">
        <x:v>36.4247502</x:v>
      </x:c>
      <x:c r="U83" s="22" t="n">
        <x:v>127.4202814</x:v>
      </x:c>
    </x:row>
    <x:row r="84" ht="32" customHeight="1">
      <x:c r="A84" s="18" t="str">
        <x:v>pending</x:v>
      </x:c>
      <x:c r="B84" s="18" t="str">
        <x:v>대덕구</x:v>
      </x:c>
      <x:c r="C84" s="17" t="str">
        <x:v>대청하녹 신탄진점</x:v>
      </x:c>
      <x:c r="D84" s="17" t="str">
        <x:v>한식&gt;육류,고기요리</x:v>
      </x:c>
      <x:c r="E84" s="19" t="n">
        <x:v>49</x:v>
      </x:c>
      <x:c r="F84" s="17" t="str">
        <x:v>최근 12개월 블로그 43건</x:v>
      </x:c>
      <x:c r="G84" s="17" t="str">
        <x:v>대전광역시 대덕구 신탄진동 121-23 1층</x:v>
      </x:c>
      <x:c r="H84" s="17" t="str">
        <x:v>대전광역시 대덕구 신탄진동로7번길 78 1층</x:v>
      </x:c>
      <x:c r="I84" s="18" t="e">
        <x:f>HYPERLINK("https://search.naver.com/search.naver?where=blog&amp;query=%EB%8C%80%EC%B2%AD%ED%95%98%EB%85%B9+%EC%8B%A0%ED%83%84%EC%A7%84%EC%A0%90+%EC%8B%A0%ED%83%84%EC%A7%84%EB%8F%99","블로그 보기")</x:f>
        <x:v>HYPERLINK is not implemented. linkLocation=https://search.naver.com/search.naver?where=blog&amp;query=%EB%8C%80%EC%B2%AD%ED%95%98%EB%85%B9+%EC%8B%A0%ED%83%84%EC%A7%84%EC%A0%90+%EC%8B%A0%ED%83%84%EC%A7%84%EB%8F%99, friendlyName=블로그 보기</x:v>
      </x:c>
      <x:c r="J84" s="18" t="str"/>
      <x:c r="K84" s="18" t="str"/>
      <x:c r="L84" s="17" t="str"/>
      <x:c r="M84" s="20" t="n">
        <x:v>46049</x:v>
      </x:c>
      <x:c r="N84" s="21" t="n">
        <x:v>43</x:v>
      </x:c>
      <x:c r="O84" s="21" t="n">
        <x:v>94</x:v>
      </x:c>
      <x:c r="P84" s="21" t="n">
        <x:v>95</x:v>
      </x:c>
      <x:c r="Q84" s="21" t="n">
        <x:v>1</x:v>
      </x:c>
      <x:c r="R84" s="21" t="n">
        <x:v>0</x:v>
      </x:c>
      <x:c r="S84" s="17" t="str">
        <x:v>신탄진 고기</x:v>
      </x:c>
      <x:c r="T84" s="22" t="n">
        <x:v>36.4510112</x:v>
      </x:c>
      <x:c r="U84" s="22" t="n">
        <x:v>127.4295254</x:v>
      </x:c>
    </x:row>
    <x:row r="85" ht="32" customHeight="1">
      <x:c r="A85" s="18" t="str">
        <x:v>pending</x:v>
      </x:c>
      <x:c r="B85" s="18" t="str">
        <x:v>대덕구</x:v>
      </x:c>
      <x:c r="C85" s="17" t="str">
        <x:v>미가한우소머리국밥</x:v>
      </x:c>
      <x:c r="D85" s="17" t="str">
        <x:v>음식점&gt;한식</x:v>
      </x:c>
      <x:c r="E85" s="19" t="n">
        <x:v>49</x:v>
      </x:c>
      <x:c r="F85" s="17" t="str">
        <x:v>최근 12개월 블로그 59건</x:v>
      </x:c>
      <x:c r="G85" s="17" t="str">
        <x:v>대전광역시 대덕구 목상동 863-5 1층</x:v>
      </x:c>
      <x:c r="H85" s="17" t="str">
        <x:v>대전광역시 대덕구 대덕대로1448번길 81 1층</x:v>
      </x:c>
      <x:c r="I85" s="18" t="e">
        <x:f>HYPERLINK("https://search.naver.com/search.naver?where=blog&amp;query=%EB%AF%B8%EA%B0%80%ED%95%9C%EC%9A%B0%EC%86%8C%EB%A8%B8%EB%A6%AC%EA%B5%AD%EB%B0%A5+%EB%8C%80%EB%8D%95%EA%B5%AC","블로그 보기")</x:f>
        <x:v>HYPERLINK is not implemented. linkLocation=https://search.naver.com/search.naver?where=blog&amp;query=%EB%AF%B8%EA%B0%80%ED%95%9C%EC%9A%B0%EC%86%8C%EB%A8%B8%EB%A6%AC%EA%B5%AD%EB%B0%A5+%EB%8C%80%EB%8D%95%EA%B5%AC, friendlyName=블로그 보기</x:v>
      </x:c>
      <x:c r="J85" s="18" t="e">
        <x:f>HYPERLINK("http://0427109190.tshome.co.kr/","업체 보기")</x:f>
        <x:v>HYPERLINK is not implemented. linkLocation=http://0427109190.tshome.co.kr/, friendlyName=업체 보기</x:v>
      </x:c>
      <x:c r="K85" s="18" t="str"/>
      <x:c r="L85" s="17" t="str"/>
      <x:c r="M85" s="20" t="n">
        <x:v>46195</x:v>
      </x:c>
      <x:c r="N85" s="21" t="n">
        <x:v>59</x:v>
      </x:c>
      <x:c r="O85" s="21" t="n">
        <x:v>66</x:v>
      </x:c>
      <x:c r="P85" s="21" t="n">
        <x:v>71</x:v>
      </x:c>
      <x:c r="Q85" s="21" t="n">
        <x:v>1</x:v>
      </x:c>
      <x:c r="R85" s="21" t="n">
        <x:v>0</x:v>
      </x:c>
      <x:c r="S85" s="17" t="str">
        <x:v>신탄진 국밥</x:v>
      </x:c>
      <x:c r="T85" s="22" t="n">
        <x:v>36.4443022</x:v>
      </x:c>
      <x:c r="U85" s="22" t="n">
        <x:v>127.4106112</x:v>
      </x:c>
    </x:row>
    <x:row r="86" ht="32" customHeight="1">
      <x:c r="A86" s="18" t="str">
        <x:v>pending</x:v>
      </x:c>
      <x:c r="B86" s="18" t="str">
        <x:v>대덕구</x:v>
      </x:c>
      <x:c r="C86" s="17" t="str">
        <x:v>샤브쌈주머니 송촌점</x:v>
      </x:c>
      <x:c r="D86" s="17" t="str">
        <x:v>음식점&gt;일식&gt;샤브샤브</x:v>
      </x:c>
      <x:c r="E86" s="19" t="n">
        <x:v>49</x:v>
      </x:c>
      <x:c r="F86" s="17" t="str">
        <x:v>최근 12개월 블로그 48건</x:v>
      </x:c>
      <x:c r="G86" s="17" t="str">
        <x:v>대전광역시 대덕구 송촌동 475-5 1,2동 1층</x:v>
      </x:c>
      <x:c r="H86" s="17" t="str">
        <x:v>대전광역시 대덕구 계족산로81번길 9 1,2동 1층</x:v>
      </x:c>
      <x:c r="I86" s="18" t="e">
        <x:f>HYPERLINK("https://search.naver.com/search.naver?where=blog&amp;query=%EC%83%A4%EB%B8%8C%EC%8C%88%EC%A3%BC%EB%A8%B8%EB%8B%88+%EC%86%A1%EC%B4%8C%EC%A0%90+%EB%8C%80%EB%8D%95%EA%B5%AC","블로그 보기")</x:f>
        <x:v>HYPERLINK is not implemented. linkLocation=https://search.naver.com/search.naver?where=blog&amp;query=%EC%83%A4%EB%B8%8C%EC%8C%88%EC%A3%BC%EB%A8%B8%EB%8B%88+%EC%86%A1%EC%B4%8C%EC%A0%90+%EB%8C%80%EB%8D%95%EA%B5%AC, friendlyName=블로그 보기</x:v>
      </x:c>
      <x:c r="J86" s="18" t="str"/>
      <x:c r="K86" s="18" t="str"/>
      <x:c r="L86" s="17" t="str"/>
      <x:c r="M86" s="20" t="n">
        <x:v>46222</x:v>
      </x:c>
      <x:c r="N86" s="21" t="n">
        <x:v>48</x:v>
      </x:c>
      <x:c r="O86" s="21" t="n">
        <x:v>51</x:v>
      </x:c>
      <x:c r="P86" s="21" t="n">
        <x:v>51</x:v>
      </x:c>
      <x:c r="Q86" s="21" t="n">
        <x:v>1</x:v>
      </x:c>
      <x:c r="R86" s="21" t="n">
        <x:v>0</x:v>
      </x:c>
      <x:c r="S86" s="17" t="str">
        <x:v>대덕구 일식</x:v>
      </x:c>
      <x:c r="T86" s="22" t="n">
        <x:v>36.3634078</x:v>
      </x:c>
      <x:c r="U86" s="22" t="n">
        <x:v>127.440003</x:v>
      </x:c>
    </x:row>
    <x:row r="87" ht="32" customHeight="1">
      <x:c r="A87" s="18" t="str">
        <x:v>pending</x:v>
      </x:c>
      <x:c r="B87" s="18" t="str">
        <x:v>대덕구</x:v>
      </x:c>
      <x:c r="C87" s="17" t="str">
        <x:v>윤이네집밥</x:v>
      </x:c>
      <x:c r="D87" s="17" t="str">
        <x:v>음식점&gt;한식</x:v>
      </x:c>
      <x:c r="E87" s="19" t="n">
        <x:v>49</x:v>
      </x:c>
      <x:c r="F87" s="17" t="str">
        <x:v>최근 12개월 블로그 4건</x:v>
      </x:c>
      <x:c r="G87" s="17" t="str">
        <x:v>대전광역시 대덕구 중리동 99-1</x:v>
      </x:c>
      <x:c r="H87" s="17" t="str">
        <x:v>대전광역시 대덕구 계족산로5번길 54</x:v>
      </x:c>
      <x:c r="I87" s="18" t="e">
        <x:f>HYPERLINK("https://search.naver.com/search.naver?where=blog&amp;query=%EC%9C%A4%EC%9D%B4%EB%84%A4%EC%A7%91%EB%B0%A5+%EB%8C%80%EB%8D%95%EA%B5%AC","블로그 보기")</x:f>
        <x:v>HYPERLINK is not implemented. linkLocation=https://search.naver.com/search.naver?where=blog&amp;query=%EC%9C%A4%EC%9D%B4%EB%84%A4%EC%A7%91%EB%B0%A5+%EB%8C%80%EB%8D%95%EA%B5%AC, friendlyName=블로그 보기</x:v>
      </x:c>
      <x:c r="J87" s="18" t="str"/>
      <x:c r="K87" s="18" t="str"/>
      <x:c r="L87" s="17" t="str"/>
      <x:c r="M87" s="20" t="n">
        <x:v>46210</x:v>
      </x:c>
      <x:c r="N87" s="21" t="n">
        <x:v>4</x:v>
      </x:c>
      <x:c r="O87" s="21" t="n">
        <x:v>33</x:v>
      </x:c>
      <x:c r="P87" s="21" t="n">
        <x:v>51</x:v>
      </x:c>
      <x:c r="Q87" s="21" t="n">
        <x:v>2</x:v>
      </x:c>
      <x:c r="R87" s="21" t="n">
        <x:v>1</x:v>
      </x:c>
      <x:c r="S87" s="17" t="str">
        <x:v>대덕구 두부두루치기</x:v>
      </x:c>
      <x:c r="T87" s="22" t="n">
        <x:v>36.3644159</x:v>
      </x:c>
      <x:c r="U87" s="22" t="n">
        <x:v>127.4314479</x:v>
      </x:c>
    </x:row>
    <x:row r="88" ht="32" customHeight="1">
      <x:c r="A88" s="18" t="str">
        <x:v>pending</x:v>
      </x:c>
      <x:c r="B88" s="18" t="str">
        <x:v>대덕구</x:v>
      </x:c>
      <x:c r="C88" s="17" t="str">
        <x:v>하르방대패삼겹</x:v>
      </x:c>
      <x:c r="D88" s="17" t="str">
        <x:v>한식&gt;육류,고기요리</x:v>
      </x:c>
      <x:c r="E88" s="19" t="n">
        <x:v>49</x:v>
      </x:c>
      <x:c r="F88" s="17" t="str">
        <x:v>최근 12개월 블로그 20건</x:v>
      </x:c>
      <x:c r="G88" s="17" t="str">
        <x:v>대전광역시 대덕구 석봉동 182-19 1층</x:v>
      </x:c>
      <x:c r="H88" s="17" t="str">
        <x:v>대전광역시 대덕구 석봉로38번길 40 1층</x:v>
      </x:c>
      <x:c r="I88" s="18" t="e">
        <x:f>HYPERLINK("https://search.naver.com/search.naver?where=blog&amp;query=%ED%95%98%EB%A5%B4%EB%B0%A9%EB%8C%80%ED%8C%A8%EC%82%BC%EA%B2%B9+%EB%8C%80%EB%8D%95%EA%B5%AC","블로그 보기")</x:f>
        <x:v>HYPERLINK is not implemented. linkLocation=https://search.naver.com/search.naver?where=blog&amp;query=%ED%95%98%EB%A5%B4%EB%B0%A9%EB%8C%80%ED%8C%A8%EC%82%BC%EA%B2%B9+%EB%8C%80%EB%8D%95%EA%B5%AC, friendlyName=블로그 보기</x:v>
      </x:c>
      <x:c r="J88" s="18" t="str"/>
      <x:c r="K88" s="18" t="str"/>
      <x:c r="L88" s="17" t="str"/>
      <x:c r="M88" s="20" t="n">
        <x:v>46218</x:v>
      </x:c>
      <x:c r="N88" s="21" t="n">
        <x:v>20</x:v>
      </x:c>
      <x:c r="O88" s="21" t="n">
        <x:v>67</x:v>
      </x:c>
      <x:c r="P88" s="21" t="n">
        <x:v>76</x:v>
      </x:c>
      <x:c r="Q88" s="21" t="n">
        <x:v>1</x:v>
      </x:c>
      <x:c r="R88" s="21" t="n">
        <x:v>0</x:v>
      </x:c>
      <x:c r="S88" s="17" t="str">
        <x:v>신탄진 고기</x:v>
      </x:c>
      <x:c r="T88" s="22" t="n">
        <x:v>36.4455903</x:v>
      </x:c>
      <x:c r="U88" s="22" t="n">
        <x:v>127.4257581</x:v>
      </x:c>
    </x:row>
    <x:row r="89" ht="32" customHeight="1">
      <x:c r="A89" s="18" t="str">
        <x:v>pending</x:v>
      </x:c>
      <x:c r="B89" s="18" t="str">
        <x:v>대덕구</x:v>
      </x:c>
      <x:c r="C89" s="17" t="str">
        <x:v>한양고깃집 신탄진점</x:v>
      </x:c>
      <x:c r="D89" s="17" t="str">
        <x:v>음식점&gt;한식</x:v>
      </x:c>
      <x:c r="E89" s="19" t="n">
        <x:v>49</x:v>
      </x:c>
      <x:c r="F89" s="17" t="str">
        <x:v>최근 12개월 블로그 46건</x:v>
      </x:c>
      <x:c r="G89" s="17" t="str">
        <x:v>대전광역시 대덕구 석봉동 573-2 1층</x:v>
      </x:c>
      <x:c r="H89" s="17" t="str">
        <x:v>대전광역시 대덕구 대덕대로1585번길 16 1층</x:v>
      </x:c>
      <x:c r="I89" s="18" t="e">
        <x:f>HYPERLINK("https://search.naver.com/search.naver?where=blog&amp;query=%ED%95%9C%EC%96%91%EA%B3%A0%EA%B9%83%EC%A7%91+%EC%8B%A0%ED%83%84%EC%A7%84%EC%A0%90+%EB%8C%80%EB%8D%95%EA%B5%AC","블로그 보기")</x:f>
        <x:v>HYPERLINK is not implemented. linkLocation=https://search.naver.com/search.naver?where=blog&amp;query=%ED%95%9C%EC%96%91%EA%B3%A0%EA%B9%83%EC%A7%91+%EC%8B%A0%ED%83%84%EC%A7%84%EC%A0%90+%EB%8C%80%EB%8D%95%EA%B5%AC, friendlyName=블로그 보기</x:v>
      </x:c>
      <x:c r="J89" s="18" t="e">
        <x:f>HYPERLINK("https://www.instagram.com/hanyang_sintan","업체 보기")</x:f>
        <x:v>HYPERLINK is not implemented. linkLocation=https://www.instagram.com/hanyang_sintan, friendlyName=업체 보기</x:v>
      </x:c>
      <x:c r="K89" s="18" t="str"/>
      <x:c r="L89" s="17" t="str"/>
      <x:c r="M89" s="20" t="n">
        <x:v>46220</x:v>
      </x:c>
      <x:c r="N89" s="21" t="n">
        <x:v>46</x:v>
      </x:c>
      <x:c r="O89" s="21" t="n">
        <x:v>22</x:v>
      </x:c>
      <x:c r="P89" s="21" t="n">
        <x:v>74</x:v>
      </x:c>
      <x:c r="Q89" s="21" t="n">
        <x:v>1</x:v>
      </x:c>
      <x:c r="R89" s="21" t="n">
        <x:v>0</x:v>
      </x:c>
      <x:c r="S89" s="17" t="str">
        <x:v>신탄진 냉면</x:v>
      </x:c>
      <x:c r="T89" s="22" t="n">
        <x:v>36.4518663</x:v>
      </x:c>
      <x:c r="U89" s="22" t="n">
        <x:v>127.4241602</x:v>
      </x:c>
    </x:row>
    <x:row r="90" ht="32" customHeight="1">
      <x:c r="A90" s="18" t="str">
        <x:v>pending</x:v>
      </x:c>
      <x:c r="B90" s="18" t="str">
        <x:v>대덕구</x:v>
      </x:c>
      <x:c r="C90" s="17" t="str">
        <x:v>형제수산</x:v>
      </x:c>
      <x:c r="D90" s="17" t="str">
        <x:v>한식&gt;생선회</x:v>
      </x:c>
      <x:c r="E90" s="19" t="n">
        <x:v>49</x:v>
      </x:c>
      <x:c r="F90" s="17" t="str">
        <x:v>최근 12개월 블로그 10건</x:v>
      </x:c>
      <x:c r="G90" s="17" t="str">
        <x:v>대전광역시 대덕구 중리동 372-4 1층</x:v>
      </x:c>
      <x:c r="H90" s="17" t="str">
        <x:v>대전광역시 대덕구 중리로76번길 24 1층</x:v>
      </x:c>
      <x:c r="I90" s="18" t="e">
        <x:f>HYPERLINK("https://search.naver.com/search.naver?where=blog&amp;query=%ED%98%95%EC%A0%9C%EC%88%98%EC%82%B0+%EB%8C%80%EB%8D%95%EA%B5%AC","블로그 보기")</x:f>
        <x:v>HYPERLINK is not implemented. linkLocation=https://search.naver.com/search.naver?where=blog&amp;query=%ED%98%95%EC%A0%9C%EC%88%98%EC%82%B0+%EB%8C%80%EB%8D%95%EA%B5%AC, friendlyName=블로그 보기</x:v>
      </x:c>
      <x:c r="J90" s="18" t="str"/>
      <x:c r="K90" s="18" t="str"/>
      <x:c r="L90" s="17" t="str"/>
      <x:c r="M90" s="20" t="n">
        <x:v>46191</x:v>
      </x:c>
      <x:c r="N90" s="21" t="n">
        <x:v>10</x:v>
      </x:c>
      <x:c r="O90" s="21" t="n">
        <x:v>75</x:v>
      </x:c>
      <x:c r="P90" s="21" t="n">
        <x:v>78</x:v>
      </x:c>
      <x:c r="Q90" s="21" t="n">
        <x:v>1</x:v>
      </x:c>
      <x:c r="R90" s="21" t="n">
        <x:v>0</x:v>
      </x:c>
      <x:c r="S90" s="17" t="str">
        <x:v>대덕구 해산물</x:v>
      </x:c>
      <x:c r="T90" s="22" t="n">
        <x:v>36.365736</x:v>
      </x:c>
      <x:c r="U90" s="22" t="n">
        <x:v>127.4265375</x:v>
      </x:c>
    </x:row>
    <x:row r="91" ht="32" customHeight="1">
      <x:c r="A91" s="18" t="str">
        <x:v>pending</x:v>
      </x:c>
      <x:c r="B91" s="18" t="str">
        <x:v>대덕구</x:v>
      </x:c>
      <x:c r="C91" s="17" t="str">
        <x:v>호돈</x:v>
      </x:c>
      <x:c r="D91" s="17" t="str">
        <x:v>한식&gt;육류,고기요리</x:v>
      </x:c>
      <x:c r="E91" s="19" t="n">
        <x:v>49</x:v>
      </x:c>
      <x:c r="F91" s="17" t="str">
        <x:v>최근 12개월 블로그 38건</x:v>
      </x:c>
      <x:c r="G91" s="17" t="str">
        <x:v>대전광역시 대덕구 신탄진동 126-21 1층</x:v>
      </x:c>
      <x:c r="H91" s="17" t="str">
        <x:v>대전광역시 대덕구 대청로 54 1층</x:v>
      </x:c>
      <x:c r="I91" s="18" t="e">
        <x:f>HYPERLINK("https://search.naver.com/search.naver?where=blog&amp;query=%ED%98%B8%EB%8F%88+%EB%8C%80%EB%8D%95%EA%B5%AC","블로그 보기")</x:f>
        <x:v>HYPERLINK is not implemented. linkLocation=https://search.naver.com/search.naver?where=blog&amp;query=%ED%98%B8%EB%8F%88+%EB%8C%80%EB%8D%95%EA%B5%AC, friendlyName=블로그 보기</x:v>
      </x:c>
      <x:c r="J91" s="18" t="str"/>
      <x:c r="K91" s="18" t="str"/>
      <x:c r="L91" s="17" t="str"/>
      <x:c r="M91" s="20" t="n">
        <x:v>46223</x:v>
      </x:c>
      <x:c r="N91" s="21" t="n">
        <x:v>38</x:v>
      </x:c>
      <x:c r="O91" s="21" t="n">
        <x:v>61</x:v>
      </x:c>
      <x:c r="P91" s="21" t="n">
        <x:v>65</x:v>
      </x:c>
      <x:c r="Q91" s="21" t="n">
        <x:v>1</x:v>
      </x:c>
      <x:c r="R91" s="21" t="n">
        <x:v>0</x:v>
      </x:c>
      <x:c r="S91" s="17" t="str">
        <x:v>신탄진 고기</x:v>
      </x:c>
      <x:c r="T91" s="22" t="n">
        <x:v>36.4525599</x:v>
      </x:c>
      <x:c r="U91" s="22" t="n">
        <x:v>127.4340876</x:v>
      </x:c>
    </x:row>
    <x:row r="92" ht="32" customHeight="1">
      <x:c r="A92" s="18" t="str">
        <x:v>pending</x:v>
      </x:c>
      <x:c r="B92" s="18" t="str">
        <x:v>대덕구</x:v>
      </x:c>
      <x:c r="C92" s="17" t="str">
        <x:v>라멘유니버스</x:v>
      </x:c>
      <x:c r="D92" s="17" t="str">
        <x:v>음식점&gt;일식&gt;일본식라면</x:v>
      </x:c>
      <x:c r="E92" s="19" t="n">
        <x:v>48</x:v>
      </x:c>
      <x:c r="F92" s="17" t="str">
        <x:v>최근 12개월 블로그 18건</x:v>
      </x:c>
      <x:c r="G92" s="17" t="str">
        <x:v>대전광역시 대덕구 오정동 175-36 1층</x:v>
      </x:c>
      <x:c r="H92" s="17" t="str">
        <x:v>대전광역시 대덕구 한남로38번길 3-1 1층</x:v>
      </x:c>
      <x:c r="I92" s="18" t="e">
        <x:f>HYPERLINK("https://search.naver.com/search.naver?where=blog&amp;query=%EB%9D%BC%EB%A9%98%EC%9C%A0%EB%8B%88%EB%B2%84%EC%8A%A4+%EB%8C%80%EB%8D%95%EA%B5%AC","블로그 보기")</x:f>
        <x:v>HYPERLINK is not implemented. linkLocation=https://search.naver.com/search.naver?where=blog&amp;query=%EB%9D%BC%EB%A9%98%EC%9C%A0%EB%8B%88%EB%B2%84%EC%8A%A4+%EB%8C%80%EB%8D%95%EA%B5%AC, friendlyName=블로그 보기</x:v>
      </x:c>
      <x:c r="J92" s="18" t="e">
        <x:f>HYPERLINK("https://www.instagram.com/ramen._.universe?igshid=MmIzYWVlNDQ5Yg==","업체 보기")</x:f>
        <x:v>HYPERLINK is not implemented. linkLocation=https://www.instagram.com/ramen._.universe?igshid=MmIzYWVlNDQ5Yg==, friendlyName=업체 보기</x:v>
      </x:c>
      <x:c r="K92" s="18" t="str"/>
      <x:c r="L92" s="17" t="str"/>
      <x:c r="M92" s="20" t="n">
        <x:v>46191</x:v>
      </x:c>
      <x:c r="N92" s="21" t="n">
        <x:v>18</x:v>
      </x:c>
      <x:c r="O92" s="21" t="n">
        <x:v>37</x:v>
      </x:c>
      <x:c r="P92" s="21" t="n">
        <x:v>37</x:v>
      </x:c>
      <x:c r="Q92" s="21" t="n">
        <x:v>1</x:v>
      </x:c>
      <x:c r="R92" s="21" t="n">
        <x:v>0</x:v>
      </x:c>
      <x:c r="S92" s="17" t="str">
        <x:v>대덕구 일식</x:v>
      </x:c>
      <x:c r="T92" s="22" t="n">
        <x:v>36.3512434</x:v>
      </x:c>
      <x:c r="U92" s="22" t="n">
        <x:v>127.4238545</x:v>
      </x:c>
    </x:row>
    <x:row r="93" ht="32" customHeight="1">
      <x:c r="A93" s="18" t="str">
        <x:v>pending</x:v>
      </x:c>
      <x:c r="B93" s="18" t="str">
        <x:v>대덕구</x:v>
      </x:c>
      <x:c r="C93" s="17" t="str">
        <x:v>림식당</x:v>
      </x:c>
      <x:c r="D93" s="17" t="str">
        <x:v>중식&gt;중식당</x:v>
      </x:c>
      <x:c r="E93" s="19" t="n">
        <x:v>48</x:v>
      </x:c>
      <x:c r="F93" s="17" t="str">
        <x:v>최근 12개월 블로그 8건</x:v>
      </x:c>
      <x:c r="G93" s="17" t="str">
        <x:v>대전광역시 대덕구 비래동 123-24 1층</x:v>
      </x:c>
      <x:c r="H93" s="17" t="str">
        <x:v>대전광역시 대덕구 비래서로 9 1층</x:v>
      </x:c>
      <x:c r="I93" s="18" t="e">
        <x:f>HYPERLINK("https://search.naver.com/search.naver?where=blog&amp;query=%EB%A6%BC%EC%8B%9D%EB%8B%B9+%EB%8C%80%EB%8D%95%EA%B5%AC","블로그 보기")</x:f>
        <x:v>HYPERLINK is not implemented. linkLocation=https://search.naver.com/search.naver?where=blog&amp;query=%EB%A6%BC%EC%8B%9D%EB%8B%B9+%EB%8C%80%EB%8D%95%EA%B5%AC, friendlyName=블로그 보기</x:v>
      </x:c>
      <x:c r="J93" s="18" t="e">
        <x:f>HYPERLINK("https://www.instagram.com/lim_lim6262024/","업체 보기")</x:f>
        <x:v>HYPERLINK is not implemented. linkLocation=https://www.instagram.com/lim_lim6262024/, friendlyName=업체 보기</x:v>
      </x:c>
      <x:c r="K93" s="18" t="str"/>
      <x:c r="L93" s="17" t="str"/>
      <x:c r="M93" s="20" t="n">
        <x:v>46209</x:v>
      </x:c>
      <x:c r="N93" s="21" t="n">
        <x:v>8</x:v>
      </x:c>
      <x:c r="O93" s="21" t="n">
        <x:v>25</x:v>
      </x:c>
      <x:c r="P93" s="21" t="n">
        <x:v>27</x:v>
      </x:c>
      <x:c r="Q93" s="21" t="n">
        <x:v>1</x:v>
      </x:c>
      <x:c r="R93" s="21" t="n">
        <x:v>0</x:v>
      </x:c>
      <x:c r="S93" s="17" t="str">
        <x:v>비래동 맛집</x:v>
      </x:c>
      <x:c r="T93" s="22" t="n">
        <x:v>36.3554121</x:v>
      </x:c>
      <x:c r="U93" s="22" t="n">
        <x:v>127.4459923</x:v>
      </x:c>
    </x:row>
    <x:row r="94" ht="32" customHeight="1">
      <x:c r="A94" s="18" t="str">
        <x:v>pending</x:v>
      </x:c>
      <x:c r="B94" s="18" t="str">
        <x:v>대덕구</x:v>
      </x:c>
      <x:c r="C94" s="17" t="str">
        <x:v>샤브연리지 신탄진점</x:v>
      </x:c>
      <x:c r="D94" s="17" t="str">
        <x:v>음식점&gt;일식&gt;샤브샤브</x:v>
      </x:c>
      <x:c r="E94" s="19" t="n">
        <x:v>48</x:v>
      </x:c>
      <x:c r="F94" s="17" t="str">
        <x:v>최근 12개월 블로그 24건</x:v>
      </x:c>
      <x:c r="G94" s="17" t="str">
        <x:v>대전광역시 대덕구 신탄진동 121-33 대전북부새마을금고 본사사옥 2층 203 호</x:v>
      </x:c>
      <x:c r="H94" s="17" t="str">
        <x:v>대전광역시 대덕구 대청로 12 대전북부새마을금고 본사사옥 2층 203 호</x:v>
      </x:c>
      <x:c r="I94" s="18" t="e">
        <x:f>HYPERLINK("https://search.naver.com/search.naver?where=blog&amp;query=%EC%83%A4%EB%B8%8C%EC%97%B0%EB%A6%AC%EC%A7%80+%EC%8B%A0%ED%83%84%EC%A7%84%EC%A0%90+%EB%8C%80%EB%8D%95%EA%B5%AC","블로그 보기")</x:f>
        <x:v>HYPERLINK is not implemented. linkLocation=https://search.naver.com/search.naver?where=blog&amp;query=%EC%83%A4%EB%B8%8C%EC%97%B0%EB%A6%AC%EC%A7%80+%EC%8B%A0%ED%83%84%EC%A7%84%EC%A0%90+%EB%8C%80%EB%8D%95%EA%B5%AC, friendlyName=블로그 보기</x:v>
      </x:c>
      <x:c r="J94" s="18" t="str"/>
      <x:c r="K94" s="18" t="str"/>
      <x:c r="L94" s="17" t="str"/>
      <x:c r="M94" s="20" t="n">
        <x:v>46171</x:v>
      </x:c>
      <x:c r="N94" s="21" t="n">
        <x:v>24</x:v>
      </x:c>
      <x:c r="O94" s="21" t="n">
        <x:v>23</x:v>
      </x:c>
      <x:c r="P94" s="21" t="n">
        <x:v>38</x:v>
      </x:c>
      <x:c r="Q94" s="21" t="n">
        <x:v>1</x:v>
      </x:c>
      <x:c r="R94" s="21" t="n">
        <x:v>0</x:v>
      </x:c>
      <x:c r="S94" s="17" t="str">
        <x:v>신탄진 일식</x:v>
      </x:c>
      <x:c r="T94" s="22" t="n">
        <x:v>36.4512817</x:v>
      </x:c>
      <x:c r="U94" s="22" t="n">
        <x:v>127.4302041</x:v>
      </x:c>
    </x:row>
    <x:row r="95" ht="32" customHeight="1">
      <x:c r="A95" s="18" t="str">
        <x:v>pending</x:v>
      </x:c>
      <x:c r="B95" s="18" t="str">
        <x:v>대덕구</x:v>
      </x:c>
      <x:c r="C95" s="17" t="str">
        <x:v>준짜장오정점</x:v>
      </x:c>
      <x:c r="D95" s="17" t="str">
        <x:v>중식&gt;중식당</x:v>
      </x:c>
      <x:c r="E95" s="19" t="n">
        <x:v>48</x:v>
      </x:c>
      <x:c r="F95" s="17" t="str">
        <x:v>최근 12개월 블로그 12건</x:v>
      </x:c>
      <x:c r="G95" s="17" t="str">
        <x:v>대전광역시 대덕구 오정동 88-25 1층</x:v>
      </x:c>
      <x:c r="H95" s="17" t="str">
        <x:v>대전광역시 대덕구 오정로78번길 23 1층</x:v>
      </x:c>
      <x:c r="I95" s="18" t="e">
        <x:f>HYPERLINK("https://search.naver.com/search.naver?where=blog&amp;query=%EC%A4%80%EC%A7%9C%EC%9E%A5%EC%98%A4%EC%A0%95%EC%A0%90+%EB%8C%80%EB%8D%95%EA%B5%AC","블로그 보기")</x:f>
        <x:v>HYPERLINK is not implemented. linkLocation=https://search.naver.com/search.naver?where=blog&amp;query=%EC%A4%80%EC%A7%9C%EC%9E%A5%EC%98%A4%EC%A0%95%EC%A0%90+%EB%8C%80%EB%8D%95%EA%B5%AC, friendlyName=블로그 보기</x:v>
      </x:c>
      <x:c r="J95" s="18" t="str"/>
      <x:c r="K95" s="18" t="str"/>
      <x:c r="L95" s="17" t="str"/>
      <x:c r="M95" s="20" t="n">
        <x:v>46171</x:v>
      </x:c>
      <x:c r="N95" s="21" t="n">
        <x:v>12</x:v>
      </x:c>
      <x:c r="O95" s="21" t="n">
        <x:v>34</x:v>
      </x:c>
      <x:c r="P95" s="21" t="n">
        <x:v>34</x:v>
      </x:c>
      <x:c r="Q95" s="21" t="n">
        <x:v>1</x:v>
      </x:c>
      <x:c r="R95" s="21" t="n">
        <x:v>0</x:v>
      </x:c>
      <x:c r="S95" s="17" t="str">
        <x:v>대덕구 중식</x:v>
      </x:c>
      <x:c r="T95" s="22" t="n">
        <x:v>36.3539963</x:v>
      </x:c>
      <x:c r="U95" s="22" t="n">
        <x:v>127.4105253</x:v>
      </x:c>
    </x:row>
    <x:row r="96" ht="32" customHeight="1">
      <x:c r="A96" s="18" t="str">
        <x:v>pending</x:v>
      </x:c>
      <x:c r="B96" s="18" t="str">
        <x:v>대덕구</x:v>
      </x:c>
      <x:c r="C96" s="17" t="str">
        <x:v>카나우</x:v>
      </x:c>
      <x:c r="D96" s="17" t="str">
        <x:v>음식점&gt;일식&gt;일식당</x:v>
      </x:c>
      <x:c r="E96" s="19" t="n">
        <x:v>48</x:v>
      </x:c>
      <x:c r="F96" s="17" t="str">
        <x:v>최근 12개월 블로그 28건</x:v>
      </x:c>
      <x:c r="G96" s="17" t="str">
        <x:v>대전광역시 대덕구 송촌동 474-5 1층</x:v>
      </x:c>
      <x:c r="H96" s="17" t="str">
        <x:v>대전광역시 대덕구 송촌북로4번길 47-15 1층</x:v>
      </x:c>
      <x:c r="I96" s="18" t="e">
        <x:f>HYPERLINK("https://search.naver.com/search.naver?where=blog&amp;query=%EC%B9%B4%EB%82%98%EC%9A%B0+%EB%8C%80%EB%8D%95%EA%B5%AC","블로그 보기")</x:f>
        <x:v>HYPERLINK is not implemented. linkLocation=https://search.naver.com/search.naver?where=blog&amp;query=%EC%B9%B4%EB%82%98%EC%9A%B0+%EB%8C%80%EB%8D%95%EA%B5%AC, friendlyName=블로그 보기</x:v>
      </x:c>
      <x:c r="J96" s="18" t="e">
        <x:f>HYPERLINK("https://www.instagram.com/kanau4745?igsh=eXN2N3kxb3Z6amcw&amp;utm_source=qr","업체 보기")</x:f>
        <x:v>HYPERLINK is not implemented. linkLocation=https://www.instagram.com/kanau4745?igsh=eXN2N3kxb3Z6amcw&amp;utm_source=qr, friendlyName=업체 보기</x:v>
      </x:c>
      <x:c r="K96" s="18" t="str"/>
      <x:c r="L96" s="17" t="str"/>
      <x:c r="M96" s="20" t="n">
        <x:v>46132</x:v>
      </x:c>
      <x:c r="N96" s="21" t="n">
        <x:v>28</x:v>
      </x:c>
      <x:c r="O96" s="21" t="n">
        <x:v>29</x:v>
      </x:c>
      <x:c r="P96" s="21" t="n">
        <x:v>29</x:v>
      </x:c>
      <x:c r="Q96" s="21" t="n">
        <x:v>1</x:v>
      </x:c>
      <x:c r="R96" s="21" t="n">
        <x:v>0</x:v>
      </x:c>
      <x:c r="S96" s="17" t="str">
        <x:v>대덕구 일식</x:v>
      </x:c>
      <x:c r="T96" s="22" t="n">
        <x:v>36.3637773</x:v>
      </x:c>
      <x:c r="U96" s="22" t="n">
        <x:v>127.4393654</x:v>
      </x:c>
    </x:row>
    <x:row r="97" ht="32" customHeight="1">
      <x:c r="A97" s="18" t="str">
        <x:v>pending</x:v>
      </x:c>
      <x:c r="B97" s="18" t="str">
        <x:v>대덕구</x:v>
      </x:c>
      <x:c r="C97" s="17" t="str">
        <x:v>이타</x:v>
      </x:c>
      <x:c r="D97" s="17" t="str">
        <x:v>음식점&gt;일식&gt;덮밥</x:v>
      </x:c>
      <x:c r="E97" s="19" t="n">
        <x:v>47</x:v>
      </x:c>
      <x:c r="F97" s="17" t="str">
        <x:v>최근 12개월 블로그 8건</x:v>
      </x:c>
      <x:c r="G97" s="17" t="str">
        <x:v>대전광역시 대덕구 신탄진동 160-25 1F 이타</x:v>
      </x:c>
      <x:c r="H97" s="17" t="str">
        <x:v>대전광역시 대덕구 신탄진동로48번길 2 1F 이타</x:v>
      </x:c>
      <x:c r="I97" s="18" t="e">
        <x:f>HYPERLINK("https://search.naver.com/search.naver?where=blog&amp;query=%EC%9D%B4%ED%83%80+%EC%8B%A0%ED%83%84%EC%A7%84%EB%8F%99","블로그 보기")</x:f>
        <x:v>HYPERLINK is not implemented. linkLocation=https://search.naver.com/search.naver?where=blog&amp;query=%EC%9D%B4%ED%83%80+%EC%8B%A0%ED%83%84%EC%A7%84%EB%8F%99, friendlyName=블로그 보기</x:v>
      </x:c>
      <x:c r="J97" s="18" t="e">
        <x:f>HYPERLINK("https://www.instagram.com/ita_dakimasss","업체 보기")</x:f>
        <x:v>HYPERLINK is not implemented. linkLocation=https://www.instagram.com/ita_dakimasss, friendlyName=업체 보기</x:v>
      </x:c>
      <x:c r="K97" s="18" t="str"/>
      <x:c r="L97" s="17" t="str"/>
      <x:c r="M97" s="20" t="n">
        <x:v>46133</x:v>
      </x:c>
      <x:c r="N97" s="21" t="n">
        <x:v>8</x:v>
      </x:c>
      <x:c r="O97" s="21" t="n">
        <x:v>11</x:v>
      </x:c>
      <x:c r="P97" s="21" t="n">
        <x:v>15</x:v>
      </x:c>
      <x:c r="Q97" s="21" t="n">
        <x:v>1</x:v>
      </x:c>
      <x:c r="R97" s="21" t="n">
        <x:v>0</x:v>
      </x:c>
      <x:c r="S97" s="17" t="str">
        <x:v>신탄진 일식</x:v>
      </x:c>
      <x:c r="T97" s="22" t="n">
        <x:v>36.448091</x:v>
      </x:c>
      <x:c r="U97" s="22" t="n">
        <x:v>127.4344977</x:v>
      </x:c>
    </x:row>
    <x:row r="98" ht="32" customHeight="1">
      <x:c r="A98" s="18" t="str">
        <x:v>pending</x:v>
      </x:c>
      <x:c r="B98" s="18" t="str">
        <x:v>대덕구</x:v>
      </x:c>
      <x:c r="C98" s="17" t="str">
        <x:v>청담향</x:v>
      </x:c>
      <x:c r="D98" s="17" t="str">
        <x:v>음식점&gt;한식</x:v>
      </x:c>
      <x:c r="E98" s="19" t="n">
        <x:v>47</x:v>
      </x:c>
      <x:c r="F98" s="17" t="str">
        <x:v>최근 12개월 블로그 20건</x:v>
      </x:c>
      <x:c r="G98" s="17" t="str">
        <x:v>대전광역시 대덕구 송촌동 292-7 청담향</x:v>
      </x:c>
      <x:c r="H98" s="17" t="str">
        <x:v>대전광역시 대덕구 동서대로 1785 청담향</x:v>
      </x:c>
      <x:c r="I98" s="18" t="e">
        <x:f>HYPERLINK("https://search.naver.com/search.naver?where=blog&amp;query=%EC%B2%AD%EB%8B%B4%ED%96%A5+%EB%8C%80%EB%8D%95%EA%B5%AC","블로그 보기")</x:f>
        <x:v>HYPERLINK is not implemented. linkLocation=https://search.naver.com/search.naver?where=blog&amp;query=%EC%B2%AD%EB%8B%B4%ED%96%A5+%EB%8C%80%EB%8D%95%EA%B5%AC, friendlyName=블로그 보기</x:v>
      </x:c>
      <x:c r="J98" s="18" t="str"/>
      <x:c r="K98" s="18" t="str"/>
      <x:c r="L98" s="17" t="str"/>
      <x:c r="M98" s="20" t="n">
        <x:v>46221</x:v>
      </x:c>
      <x:c r="N98" s="21" t="n">
        <x:v>20</x:v>
      </x:c>
      <x:c r="O98" s="21" t="n">
        <x:v>18</x:v>
      </x:c>
      <x:c r="P98" s="21" t="n">
        <x:v>20</x:v>
      </x:c>
      <x:c r="Q98" s="21" t="n">
        <x:v>1</x:v>
      </x:c>
      <x:c r="R98" s="21" t="n">
        <x:v>0</x:v>
      </x:c>
      <x:c r="S98" s="17" t="str">
        <x:v>대덕구 고기</x:v>
      </x:c>
      <x:c r="T98" s="22" t="n">
        <x:v>36.3552805</x:v>
      </x:c>
      <x:c r="U98" s="22" t="n">
        <x:v>127.4437714</x:v>
      </x:c>
    </x:row>
    <x:row r="99" ht="32" customHeight="1">
      <x:c r="A99" s="18" t="str">
        <x:v>pending</x:v>
      </x:c>
      <x:c r="B99" s="18" t="str">
        <x:v>대덕구</x:v>
      </x:c>
      <x:c r="C99" s="17" t="str">
        <x:v>화도식</x:v>
      </x:c>
      <x:c r="D99" s="17" t="str">
        <x:v>중식&gt;중식당</x:v>
      </x:c>
      <x:c r="E99" s="19" t="n">
        <x:v>47</x:v>
      </x:c>
      <x:c r="F99" s="17" t="str">
        <x:v>최근 12개월 블로그 12건</x:v>
      </x:c>
      <x:c r="G99" s="17" t="str">
        <x:v>대전광역시 대덕구 오정동 274-23 1층</x:v>
      </x:c>
      <x:c r="H99" s="17" t="str">
        <x:v>대전광역시 대덕구 한밭대로1006번길 98 1층</x:v>
      </x:c>
      <x:c r="I99" s="18" t="e">
        <x:f>HYPERLINK("https://search.naver.com/search.naver?where=blog&amp;query=%ED%99%94%EB%8F%84%EC%8B%9D+%EB%8C%80%EB%8D%95%EA%B5%AC","블로그 보기")</x:f>
        <x:v>HYPERLINK is not implemented. linkLocation=https://search.naver.com/search.naver?where=blog&amp;query=%ED%99%94%EB%8F%84%EC%8B%9D+%EB%8C%80%EB%8D%95%EA%B5%AC, friendlyName=블로그 보기</x:v>
      </x:c>
      <x:c r="J99" s="18" t="e">
        <x:f>HYPERLINK("https://www.instagram.com/hwadosik_daejeon?igsh=a2M4dDZ1OW4zcTBy&amp;utm_source=qr","업체 보기")</x:f>
        <x:v>HYPERLINK is not implemented. linkLocation=https://www.instagram.com/hwadosik_daejeon?igsh=a2M4dDZ1OW4zcTBy&amp;utm_source=qr, friendlyName=업체 보기</x:v>
      </x:c>
      <x:c r="K99" s="18" t="str"/>
      <x:c r="L99" s="17" t="str"/>
      <x:c r="M99" s="20" t="n">
        <x:v>46215</x:v>
      </x:c>
      <x:c r="N99" s="21" t="n">
        <x:v>12</x:v>
      </x:c>
      <x:c r="O99" s="21" t="n">
        <x:v>17</x:v>
      </x:c>
      <x:c r="P99" s="21" t="n">
        <x:v>18</x:v>
      </x:c>
      <x:c r="Q99" s="21" t="n">
        <x:v>1</x:v>
      </x:c>
      <x:c r="R99" s="21" t="n">
        <x:v>0</x:v>
      </x:c>
      <x:c r="S99" s="17" t="str">
        <x:v>대덕구 중식</x:v>
      </x:c>
      <x:c r="T99" s="22" t="n">
        <x:v>36.3547583</x:v>
      </x:c>
      <x:c r="U99" s="22" t="n">
        <x:v>127.4139013</x:v>
      </x:c>
    </x:row>
    <x:row r="100" ht="32" customHeight="1">
      <x:c r="A100" s="18" t="str">
        <x:v>pending</x:v>
      </x:c>
      <x:c r="B100" s="18" t="str">
        <x:v>대덕구</x:v>
      </x:c>
      <x:c r="C100" s="17" t="str">
        <x:v>맛있는고기에솜씨를더하다 송촌점</x:v>
      </x:c>
      <x:c r="D100" s="17" t="str">
        <x:v>한식&gt;돼지고기구이</x:v>
      </x:c>
      <x:c r="E100" s="19" t="n">
        <x:v>45</x:v>
      </x:c>
      <x:c r="F100" s="17" t="str">
        <x:v>최근 12개월 블로그 6건</x:v>
      </x:c>
      <x:c r="G100" s="17" t="str">
        <x:v>대전광역시 대덕구 송촌동 475-3 1층</x:v>
      </x:c>
      <x:c r="H100" s="17" t="str">
        <x:v>대전광역시 대덕구 계족산로81번길 17 1층</x:v>
      </x:c>
      <x:c r="I100" s="18" t="e">
        <x:f>HYPERLINK("https://search.naver.com/search.naver?where=blog&amp;query=%EB%A7%9B%EC%9E%88%EB%8A%94%EA%B3%A0%EA%B8%B0%EC%97%90%EC%86%9C%EC%94%A8%EB%A5%BC%EB%8D%94%ED%95%98%EB%8B%A4+%EC%86%A1%EC%B4%8C%EC%A0%90+%EB%8C%80%EB%8D%95%EA%B5%AC","블로그 보기")</x:f>
        <x:v>HYPERLINK is not implemented. linkLocation=https://search.naver.com/search.naver?where=blog&amp;query=%EB%A7%9B%EC%9E%88%EB%8A%94%EA%B3%A0%EA%B8%B0%EC%97%90%EC%86%9C%EC%94%A8%EB%A5%BC%EB%8D%94%ED%95%98%EB%8B%A4+%EC%86%A1%EC%B4%8C%EC%A0%90+%EB%8C%80%EB%8D%95%EA%B5%AC, friendlyName=블로그 보기</x:v>
      </x:c>
      <x:c r="J100" s="18" t="e">
        <x:f>HYPERLINK("https://www.instagram.com/thehada_songchon","업체 보기")</x:f>
        <x:v>HYPERLINK is not implemented. linkLocation=https://www.instagram.com/thehada_songchon, friendlyName=업체 보기</x:v>
      </x:c>
      <x:c r="K100" s="18" t="str"/>
      <x:c r="L100" s="17" t="str"/>
      <x:c r="M100" s="20" t="n">
        <x:v>46194</x:v>
      </x:c>
      <x:c r="N100" s="21" t="n">
        <x:v>6</x:v>
      </x:c>
      <x:c r="O100" s="21" t="n">
        <x:v>21</x:v>
      </x:c>
      <x:c r="P100" s="21" t="n">
        <x:v>28</x:v>
      </x:c>
      <x:c r="Q100" s="21" t="n">
        <x:v>1</x:v>
      </x:c>
      <x:c r="R100" s="21" t="n">
        <x:v>0</x:v>
      </x:c>
      <x:c r="S100" s="17" t="str">
        <x:v>대덕구 고기</x:v>
      </x:c>
      <x:c r="T100" s="22" t="n">
        <x:v>36.3639186</x:v>
      </x:c>
      <x:c r="U100" s="22" t="n">
        <x:v>127.4398496</x:v>
      </x:c>
    </x:row>
    <x:row r="101" ht="32" customHeight="1">
      <x:c r="A101" s="18" t="str">
        <x:v>pending</x:v>
      </x:c>
      <x:c r="B101" s="18" t="str">
        <x:v>대덕구</x:v>
      </x:c>
      <x:c r="C101" s="17" t="str">
        <x:v>굴세상 덕암점</x:v>
      </x:c>
      <x:c r="D101" s="17" t="str">
        <x:v>한식&gt;굴요리</x:v>
      </x:c>
      <x:c r="E101" s="19" t="n">
        <x:v>44</x:v>
      </x:c>
      <x:c r="F101" s="17" t="str">
        <x:v>최근 12개월 블로그 4건</x:v>
      </x:c>
      <x:c r="G101" s="17" t="str">
        <x:v>대전광역시 대덕구 덕암동 12-3 굴세상</x:v>
      </x:c>
      <x:c r="H101" s="17" t="str">
        <x:v>대전광역시 대덕구 덕암로 259 굴세상</x:v>
      </x:c>
      <x:c r="I101" s="18" t="e">
        <x:f>HYPERLINK("https://search.naver.com/search.naver?where=blog&amp;query=%EA%B5%B4%EC%84%B8%EC%83%81+%EB%8D%95%EC%95%94%EC%A0%90+%EB%8C%80%EB%8D%95%EA%B5%AC","블로그 보기")</x:f>
        <x:v>HYPERLINK is not implemented. linkLocation=https://search.naver.com/search.naver?where=blog&amp;query=%EA%B5%B4%EC%84%B8%EC%83%81+%EB%8D%95%EC%95%94%EC%A0%90+%EB%8C%80%EB%8D%95%EA%B5%AC, friendlyName=블로그 보기</x:v>
      </x:c>
      <x:c r="J101" s="18" t="str"/>
      <x:c r="K101" s="18" t="str"/>
      <x:c r="L101" s="17" t="str"/>
      <x:c r="M101" s="20" t="n">
        <x:v>46218</x:v>
      </x:c>
      <x:c r="N101" s="21" t="n">
        <x:v>4</x:v>
      </x:c>
      <x:c r="O101" s="21" t="n">
        <x:v>23</x:v>
      </x:c>
      <x:c r="P101" s="21" t="n">
        <x:v>25</x:v>
      </x:c>
      <x:c r="Q101" s="21" t="n">
        <x:v>1</x:v>
      </x:c>
      <x:c r="R101" s="21" t="n">
        <x:v>1</x:v>
      </x:c>
      <x:c r="S101" s="17" t="str">
        <x:v>신탄진 국밥</x:v>
      </x:c>
      <x:c r="T101" s="22" t="n">
        <x:v>36.4434567</x:v>
      </x:c>
      <x:c r="U101" s="22" t="n">
        <x:v>127.4251939</x:v>
      </x:c>
    </x:row>
    <x:row r="102" ht="32" customHeight="1">
      <x:c r="A102" s="18" t="str">
        <x:v>pending</x:v>
      </x:c>
      <x:c r="B102" s="18" t="str">
        <x:v>유성구</x:v>
      </x:c>
      <x:c r="C102" s="17" t="str">
        <x:v>백송한우 대전 유성</x:v>
      </x:c>
      <x:c r="D102" s="17" t="str">
        <x:v>한식&gt;소고기구이</x:v>
      </x:c>
      <x:c r="E102" s="19" t="n">
        <x:v>80</x:v>
      </x:c>
      <x:c r="F102" s="17" t="str">
        <x:v>지역성: 대전; 최근 12개월 블로그 100건</x:v>
      </x:c>
      <x:c r="G102" s="17" t="str">
        <x:v>대전광역시 유성구 구암동 623-6 B동 지상 1층 백송한우 대전유성</x:v>
      </x:c>
      <x:c r="H102" s="17" t="str">
        <x:v>대전광역시 유성구 월드컵대로275번길 49 B동 지상 1층 백송한우 대전유성</x:v>
      </x:c>
      <x:c r="I102" s="18" t="e">
        <x:f>HYPERLINK("https://search.naver.com/search.naver?where=blog&amp;query=%EB%B0%B1%EC%86%A1%ED%95%9C%EC%9A%B0+%EB%8C%80%EC%A0%84+%EC%9C%A0%EC%84%B1+%EC%9C%A0%EC%84%B1%EA%B5%AC","블로그 보기")</x:f>
        <x:v>HYPERLINK is not implemented. linkLocation=https://search.naver.com/search.naver?where=blog&amp;query=%EB%B0%B1%EC%86%A1%ED%95%9C%EC%9A%B0+%EB%8C%80%EC%A0%84+%EC%9C%A0%EC%84%B1+%EC%9C%A0%EC%84%B1%EA%B5%AC, friendlyName=블로그 보기</x:v>
      </x:c>
      <x:c r="J102" s="18" t="e">
        <x:f>HYPERLINK("https://blog.naver.com/baeksong_taejeon","업체 보기")</x:f>
        <x:v>HYPERLINK is not implemented. linkLocation=https://blog.naver.com/baeksong_taejeon, friendlyName=업체 보기</x:v>
      </x:c>
      <x:c r="K102" s="18" t="str"/>
      <x:c r="L102" s="17" t="str"/>
      <x:c r="M102" s="20" t="n">
        <x:v>46223</x:v>
      </x:c>
      <x:c r="N102" s="21" t="n">
        <x:v>100</x:v>
      </x:c>
      <x:c r="O102" s="21" t="n">
        <x:v>97</x:v>
      </x:c>
      <x:c r="P102" s="21" t="n">
        <x:v>23054</x:v>
      </x:c>
      <x:c r="Q102" s="21" t="n">
        <x:v>4</x:v>
      </x:c>
      <x:c r="R102" s="21" t="n">
        <x:v>3</x:v>
      </x:c>
      <x:c r="S102" s="17" t="str">
        <x:v>유성구 고기 | 유성구 냉면 | 유성구 한식</x:v>
      </x:c>
      <x:c r="T102" s="22" t="n">
        <x:v>36.350694</x:v>
      </x:c>
      <x:c r="U102" s="22" t="n">
        <x:v>127.331532</x:v>
      </x:c>
    </x:row>
    <x:row r="103" ht="32" customHeight="1">
      <x:c r="A103" s="18" t="str">
        <x:v>pending</x:v>
      </x:c>
      <x:c r="B103" s="18" t="str">
        <x:v>유성구</x:v>
      </x:c>
      <x:c r="C103" s="17" t="str">
        <x:v>태평소국밥</x:v>
      </x:c>
      <x:c r="D103" s="17" t="str">
        <x:v>한식&gt;국밥</x:v>
      </x:c>
      <x:c r="E103" s="19" t="n">
        <x:v>78</x:v>
      </x:c>
      <x:c r="F103" s="17" t="str">
        <x:v>최근 12개월 블로그 26건</x:v>
      </x:c>
      <x:c r="G103" s="17" t="str">
        <x:v>대전광역시 유성구 봉명동 682-2</x:v>
      </x:c>
      <x:c r="H103" s="17" t="str">
        <x:v>대전광역시 유성구 온천동로65번길 50</x:v>
      </x:c>
      <x:c r="I103" s="18" t="e">
        <x:f>HYPERLINK("https://search.naver.com/search.naver?where=blog&amp;query=%ED%83%9C%ED%8F%89%EC%86%8C%EA%B5%AD%EB%B0%A5+%EC%98%A8%EC%B2%9C%EB%8F%99","블로그 보기")</x:f>
        <x:v>HYPERLINK is not implemented. linkLocation=https://search.naver.com/search.naver?where=blog&amp;query=%ED%83%9C%ED%8F%89%EC%86%8C%EA%B5%AD%EB%B0%A5+%EC%98%A8%EC%B2%9C%EB%8F%99, friendlyName=블로그 보기</x:v>
      </x:c>
      <x:c r="J103" s="18" t="e">
        <x:f>HYPERLINK("https://smartstore.naver.com/mcfdts","업체 보기")</x:f>
        <x:v>HYPERLINK is not implemented. linkLocation=https://smartstore.naver.com/mcfdts, friendlyName=업체 보기</x:v>
      </x:c>
      <x:c r="K103" s="18" t="str"/>
      <x:c r="L103" s="17" t="str"/>
      <x:c r="M103" s="20" t="n">
        <x:v>46220</x:v>
      </x:c>
      <x:c r="N103" s="21" t="n">
        <x:v>26</x:v>
      </x:c>
      <x:c r="O103" s="21" t="n">
        <x:v>94</x:v>
      </x:c>
      <x:c r="P103" s="21" t="n">
        <x:v>121</x:v>
      </x:c>
      <x:c r="Q103" s="21" t="n">
        <x:v>5</x:v>
      </x:c>
      <x:c r="R103" s="21" t="n">
        <x:v>4</x:v>
      </x:c>
      <x:c r="S103" s="17" t="str">
        <x:v>유성구 고기 | 유성구 국밥 | 유성구 맛집 | 유성구 한식</x:v>
      </x:c>
      <x:c r="T103" s="22" t="n">
        <x:v>36.357456</x:v>
      </x:c>
      <x:c r="U103" s="22" t="n">
        <x:v>127.3502061</x:v>
      </x:c>
    </x:row>
    <x:row r="104" ht="32" customHeight="1">
      <x:c r="A104" s="18" t="str">
        <x:v>pending</x:v>
      </x:c>
      <x:c r="B104" s="18" t="str">
        <x:v>유성구</x:v>
      </x:c>
      <x:c r="C104" s="17" t="str">
        <x:v>전주집 본점</x:v>
      </x:c>
      <x:c r="D104" s="17" t="str">
        <x:v>한식&gt;향토음식</x:v>
      </x:c>
      <x:c r="E104" s="19" t="n">
        <x:v>77</x:v>
      </x:c>
      <x:c r="F104" s="17" t="str">
        <x:v>지역성: 향토, 본점; 최근 12개월 블로그 19건</x:v>
      </x:c>
      <x:c r="G104" s="17" t="str">
        <x:v>대전광역시 유성구 봉명동 546-3 1층</x:v>
      </x:c>
      <x:c r="H104" s="17" t="str">
        <x:v>대전광역시 유성구 온천로 74 1층</x:v>
      </x:c>
      <x:c r="I104" s="18" t="e">
        <x:f>HYPERLINK("https://search.naver.com/search.naver?where=blog&amp;query=%EC%A0%84%EC%A3%BC%EC%A7%91+%EB%B3%B8%EC%A0%90+%EC%9C%A0%EC%84%B1%EA%B5%AC","블로그 보기")</x:f>
        <x:v>HYPERLINK is not implemented. linkLocation=https://search.naver.com/search.naver?where=blog&amp;query=%EC%A0%84%EC%A3%BC%EC%A7%91+%EB%B3%B8%EC%A0%90+%EC%9C%A0%EC%84%B1%EA%B5%AC, friendlyName=블로그 보기</x:v>
      </x:c>
      <x:c r="J104" s="18" t="e">
        <x:f>HYPERLINK("https://www.instagram.com/jeon_ju_jip/","업체 보기")</x:f>
        <x:v>HYPERLINK is not implemented. linkLocation=https://www.instagram.com/jeon_ju_jip/, friendlyName=업체 보기</x:v>
      </x:c>
      <x:c r="K104" s="18" t="str"/>
      <x:c r="L104" s="17" t="str"/>
      <x:c r="M104" s="20" t="n">
        <x:v>46190</x:v>
      </x:c>
      <x:c r="N104" s="21" t="n">
        <x:v>19</x:v>
      </x:c>
      <x:c r="O104" s="21" t="n">
        <x:v>76</x:v>
      </x:c>
      <x:c r="P104" s="21" t="n">
        <x:v>82</x:v>
      </x:c>
      <x:c r="Q104" s="21" t="n">
        <x:v>4</x:v>
      </x:c>
      <x:c r="R104" s="21" t="n">
        <x:v>2</x:v>
      </x:c>
      <x:c r="S104" s="17" t="str">
        <x:v>어은동 향토음식 | 유성구 향토음식</x:v>
      </x:c>
      <x:c r="T104" s="22" t="n">
        <x:v>36.3545742</x:v>
      </x:c>
      <x:c r="U104" s="22" t="n">
        <x:v>127.3459507</x:v>
      </x:c>
    </x:row>
    <x:row r="105" ht="32" customHeight="1">
      <x:c r="A105" s="18" t="str">
        <x:v>pending</x:v>
      </x:c>
      <x:c r="B105" s="18" t="str">
        <x:v>유성구</x:v>
      </x:c>
      <x:c r="C105" s="17" t="str">
        <x:v>대손관 대전봉명본점</x:v>
      </x:c>
      <x:c r="D105" s="17" t="str">
        <x:v>음식점&gt;일식&gt;돈가스</x:v>
      </x:c>
      <x:c r="E105" s="19" t="n">
        <x:v>74</x:v>
      </x:c>
      <x:c r="F105" s="17" t="str">
        <x:v>지역성: 본점, 대전; 최근 12개월 블로그 100건</x:v>
      </x:c>
      <x:c r="G105" s="17" t="str">
        <x:v>대전광역시 유성구 봉명동 665-3 B동 1, 2층</x:v>
      </x:c>
      <x:c r="H105" s="17" t="str">
        <x:v>대전광역시 유성구 한밭대로492번길 20 B동 1, 2층</x:v>
      </x:c>
      <x:c r="I105" s="18" t="e">
        <x:f>HYPERLINK("https://search.naver.com/search.naver?where=blog&amp;query=%EB%8C%80%EC%86%90%EA%B4%80+%EB%8C%80%EC%A0%84%EB%B4%89%EB%AA%85%EB%B3%B8%EC%A0%90+%EC%9C%A0%EC%84%B1%EA%B5%AC","블로그 보기")</x:f>
        <x:v>HYPERLINK is not implemented. linkLocation=https://search.naver.com/search.naver?where=blog&amp;query=%EB%8C%80%EC%86%90%EA%B4%80+%EB%8C%80%EC%A0%84%EB%B4%89%EB%AA%85%EB%B3%B8%EC%A0%90+%EC%9C%A0%EC%84%B1%EA%B5%AC, friendlyName=블로그 보기</x:v>
      </x:c>
      <x:c r="J105" s="18" t="e">
        <x:f>HYPERLINK("http://www.instagram.com/daesonkwan","업체 보기")</x:f>
        <x:v>HYPERLINK is not implemented. linkLocation=http://www.instagram.com/daesonkwan, friendlyName=업체 보기</x:v>
      </x:c>
      <x:c r="K105" s="18" t="str"/>
      <x:c r="L105" s="17" t="str"/>
      <x:c r="M105" s="20" t="n">
        <x:v>46223</x:v>
      </x:c>
      <x:c r="N105" s="21" t="n">
        <x:v>100</x:v>
      </x:c>
      <x:c r="O105" s="21" t="n">
        <x:v>96</x:v>
      </x:c>
      <x:c r="P105" s="21" t="n">
        <x:v>3155</x:v>
      </x:c>
      <x:c r="Q105" s="21" t="n">
        <x:v>2</x:v>
      </x:c>
      <x:c r="R105" s="21" t="n">
        <x:v>2</x:v>
      </x:c>
      <x:c r="S105" s="17" t="str">
        <x:v>유성구 냉면 | 유성구 일식</x:v>
      </x:c>
      <x:c r="T105" s="22" t="n">
        <x:v>36.3588522</x:v>
      </x:c>
      <x:c r="U105" s="22" t="n">
        <x:v>127.3528466</x:v>
      </x:c>
    </x:row>
    <x:row r="106" ht="32" customHeight="1">
      <x:c r="A106" s="18" t="str">
        <x:v>pending</x:v>
      </x:c>
      <x:c r="B106" s="18" t="str">
        <x:v>유성구</x:v>
      </x:c>
      <x:c r="C106" s="17" t="str">
        <x:v>손의손 반석점</x:v>
      </x:c>
      <x:c r="D106" s="17" t="str">
        <x:v>해물,생선요리&gt;주꾸미요리</x:v>
      </x:c>
      <x:c r="E106" s="19" t="n">
        <x:v>74</x:v>
      </x:c>
      <x:c r="F106" s="17" t="str">
        <x:v>최근 12개월 블로그 100건</x:v>
      </x:c>
      <x:c r="G106" s="17" t="str">
        <x:v>대전광역시 유성구 반석동 308 108,109,110호</x:v>
      </x:c>
      <x:c r="H106" s="17" t="str">
        <x:v>대전광역시 유성구 반석로 51 108,109,110호</x:v>
      </x:c>
      <x:c r="I106" s="18" t="e">
        <x:f>HYPERLINK("https://search.naver.com/search.naver?where=blog&amp;query=%EC%86%90%EC%9D%98%EC%86%90+%EB%B0%98%EC%84%9D%EC%A0%90+%EC%9C%A0%EC%84%B1%EA%B5%AC","블로그 보기")</x:f>
        <x:v>HYPERLINK is not implemented. linkLocation=https://search.naver.com/search.naver?where=blog&amp;query=%EC%86%90%EC%9D%98%EC%86%90+%EB%B0%98%EC%84%9D%EC%A0%90+%EC%9C%A0%EC%84%B1%EA%B5%AC, friendlyName=블로그 보기</x:v>
      </x:c>
      <x:c r="J106" s="18" t="e">
        <x:f>HYPERLINK("https://blog.naver.com/sonofson_","업체 보기")</x:f>
        <x:v>HYPERLINK is not implemented. linkLocation=https://blog.naver.com/sonofson_, friendlyName=업체 보기</x:v>
      </x:c>
      <x:c r="K106" s="18" t="str"/>
      <x:c r="L106" s="17" t="str"/>
      <x:c r="M106" s="20" t="n">
        <x:v>46223</x:v>
      </x:c>
      <x:c r="N106" s="21" t="n">
        <x:v>100</x:v>
      </x:c>
      <x:c r="O106" s="21" t="n">
        <x:v>93</x:v>
      </x:c>
      <x:c r="P106" s="21" t="n">
        <x:v>150</x:v>
      </x:c>
      <x:c r="Q106" s="21" t="n">
        <x:v>4</x:v>
      </x:c>
      <x:c r="R106" s="21" t="n">
        <x:v>4</x:v>
      </x:c>
      <x:c r="S106" s="17" t="str">
        <x:v>유성구 냉면 | 유성구 맛집 | 유성구 한식 | 유성구 해산물</x:v>
      </x:c>
      <x:c r="T106" s="22" t="n">
        <x:v>36.3905607</x:v>
      </x:c>
      <x:c r="U106" s="22" t="n">
        <x:v>127.3091475</x:v>
      </x:c>
    </x:row>
    <x:row r="107" ht="32" customHeight="1">
      <x:c r="A107" s="18" t="str">
        <x:v>pending</x:v>
      </x:c>
      <x:c r="B107" s="18" t="str">
        <x:v>유성구</x:v>
      </x:c>
      <x:c r="C107" s="17" t="str">
        <x:v>소담칼국수쭈꾸미 어은점</x:v>
      </x:c>
      <x:c r="D107" s="17" t="str">
        <x:v>한식&gt;칼국수,만두</x:v>
      </x:c>
      <x:c r="E107" s="19" t="n">
        <x:v>73</x:v>
      </x:c>
      <x:c r="F107" s="17" t="str">
        <x:v>지역성: 칼국수; 최근 12개월 블로그 100건</x:v>
      </x:c>
      <x:c r="G107" s="17" t="str">
        <x:v>대전광역시 유성구 어은동 113-15 1층</x:v>
      </x:c>
      <x:c r="H107" s="17" t="str">
        <x:v>대전광역시 유성구 어은로48번길 15 1층</x:v>
      </x:c>
      <x:c r="I107" s="18" t="e">
        <x:f>HYPERLINK("https://search.naver.com/search.naver?where=blog&amp;query=%EC%86%8C%EB%8B%B4%EC%B9%BC%EA%B5%AD%EC%88%98%EC%AD%88%EA%BE%B8%EB%AF%B8+%EC%96%B4%EC%9D%80%EC%A0%90+%EC%9C%A0%EC%84%B1%EA%B5%AC","블로그 보기")</x:f>
        <x:v>HYPERLINK is not implemented. linkLocation=https://search.naver.com/search.naver?where=blog&amp;query=%EC%86%8C%EB%8B%B4%EC%B9%BC%EA%B5%AD%EC%88%98%EC%AD%88%EA%BE%B8%EB%AF%B8+%EC%96%B4%EC%9D%80%EC%A0%90+%EC%9C%A0%EC%84%B1%EA%B5%AC, friendlyName=블로그 보기</x:v>
      </x:c>
      <x:c r="J107" s="18" t="str"/>
      <x:c r="K107" s="18" t="str"/>
      <x:c r="L107" s="17" t="str"/>
      <x:c r="M107" s="20" t="n">
        <x:v>46202</x:v>
      </x:c>
      <x:c r="N107" s="21" t="n">
        <x:v>100</x:v>
      </x:c>
      <x:c r="O107" s="21" t="n">
        <x:v>97</x:v>
      </x:c>
      <x:c r="P107" s="21" t="n">
        <x:v>169</x:v>
      </x:c>
      <x:c r="Q107" s="21" t="n">
        <x:v>4</x:v>
      </x:c>
      <x:c r="R107" s="21" t="n">
        <x:v>2</x:v>
      </x:c>
      <x:c r="S107" s="17" t="str">
        <x:v>어은동 칼국수 | 어은동 한식</x:v>
      </x:c>
      <x:c r="T107" s="22" t="n">
        <x:v>36.3631328</x:v>
      </x:c>
      <x:c r="U107" s="22" t="n">
        <x:v>127.3578548</x:v>
      </x:c>
    </x:row>
    <x:row r="108" ht="32" customHeight="1">
      <x:c r="A108" s="18" t="str">
        <x:v>pending</x:v>
      </x:c>
      <x:c r="B108" s="18" t="str">
        <x:v>유성구</x:v>
      </x:c>
      <x:c r="C108" s="17" t="str">
        <x:v>형과아우누룽지삼계탕왕갈비탕</x:v>
      </x:c>
      <x:c r="D108" s="17" t="str">
        <x:v>음식점&gt;한식</x:v>
      </x:c>
      <x:c r="E108" s="19" t="n">
        <x:v>73</x:v>
      </x:c>
      <x:c r="F108" s="17" t="str">
        <x:v>최근 12개월 블로그 100건</x:v>
      </x:c>
      <x:c r="G108" s="17" t="str">
        <x:v>대전광역시 유성구 봉명동 538-8 동아벤처 타워 1층 115호</x:v>
      </x:c>
      <x:c r="H108" s="17" t="str">
        <x:v>대전광역시 유성구 온천로 59 (봉명동, 동아벤처 타워) 1층 115호</x:v>
      </x:c>
      <x:c r="I108" s="18" t="e">
        <x:f>HYPERLINK("https://search.naver.com/search.naver?where=blog&amp;query=%ED%98%95%EA%B3%BC%EC%95%84%EC%9A%B0%EB%88%84%EB%A3%BD%EC%A7%80%EC%82%BC%EA%B3%84%ED%83%95%EC%99%95%EA%B0%88%EB%B9%84%ED%83%95+%EB%B4%89%EB%AA%85%EB%8F%99","블로그 보기")</x:f>
        <x:v>HYPERLINK is not implemented. linkLocation=https://search.naver.com/search.naver?where=blog&amp;query=%ED%98%95%EA%B3%BC%EC%95%84%EC%9A%B0%EB%88%84%EB%A3%BD%EC%A7%80%EC%82%BC%EA%B3%84%ED%83%95%EC%99%95%EA%B0%88%EB%B9%84%ED%83%95+%EB%B4%89%EB%AA%85%EB%8F%99, friendlyName=블로그 보기</x:v>
      </x:c>
      <x:c r="J108" s="18" t="e">
        <x:f>HYPERLINK("http://www.형과아우.com/","업체 보기")</x:f>
        <x:v>HYPERLINK is not implemented. linkLocation=http://www.형과아우.com/, friendlyName=업체 보기</x:v>
      </x:c>
      <x:c r="K108" s="18" t="str"/>
      <x:c r="L108" s="17" t="str"/>
      <x:c r="M108" s="20" t="n">
        <x:v>46223</x:v>
      </x:c>
      <x:c r="N108" s="21" t="n">
        <x:v>100</x:v>
      </x:c>
      <x:c r="O108" s="21" t="n">
        <x:v>97</x:v>
      </x:c>
      <x:c r="P108" s="21" t="n">
        <x:v>3511</x:v>
      </x:c>
      <x:c r="Q108" s="21" t="n">
        <x:v>5</x:v>
      </x:c>
      <x:c r="R108" s="21" t="n">
        <x:v>1</x:v>
      </x:c>
      <x:c r="S108" s="17" t="str">
        <x:v>어은동 삼계탕 | 유성구 맛집 | 유성구 삼계탕 | 유성구 한식</x:v>
      </x:c>
      <x:c r="T108" s="22" t="n">
        <x:v>36.3554102</x:v>
      </x:c>
      <x:c r="U108" s="22" t="n">
        <x:v>127.3445999</x:v>
      </x:c>
    </x:row>
    <x:row r="109" ht="32" customHeight="1">
      <x:c r="A109" s="18" t="str">
        <x:v>pending</x:v>
      </x:c>
      <x:c r="B109" s="18" t="str">
        <x:v>유성구</x:v>
      </x:c>
      <x:c r="C109" s="17" t="str">
        <x:v>솥계</x:v>
      </x:c>
      <x:c r="D109" s="17" t="str">
        <x:v>음식점&gt;한식</x:v>
      </x:c>
      <x:c r="E109" s="19" t="n">
        <x:v>72</x:v>
      </x:c>
      <x:c r="F109" s="17" t="str">
        <x:v>최근 12개월 블로그 17건</x:v>
      </x:c>
      <x:c r="G109" s="17" t="str">
        <x:v>대전광역시 유성구 어은동 105-5 1층</x:v>
      </x:c>
      <x:c r="H109" s="17" t="str">
        <x:v>대전광역시 유성구 농대로 6 1층</x:v>
      </x:c>
      <x:c r="I109" s="18" t="e">
        <x:f>HYPERLINK("https://search.naver.com/search.naver?where=blog&amp;query=%EC%86%A5%EA%B3%84+%EC%9C%A0%EC%84%B1%EA%B5%AC","블로그 보기")</x:f>
        <x:v>HYPERLINK is not implemented. linkLocation=https://search.naver.com/search.naver?where=blog&amp;query=%EC%86%A5%EA%B3%84+%EC%9C%A0%EC%84%B1%EA%B5%AC, friendlyName=블로그 보기</x:v>
      </x:c>
      <x:c r="J109" s="18" t="str"/>
      <x:c r="K109" s="18" t="str"/>
      <x:c r="L109" s="17" t="str"/>
      <x:c r="M109" s="20" t="n">
        <x:v>46222</x:v>
      </x:c>
      <x:c r="N109" s="21" t="n">
        <x:v>17</x:v>
      </x:c>
      <x:c r="O109" s="21" t="n">
        <x:v>17</x:v>
      </x:c>
      <x:c r="P109" s="21" t="n">
        <x:v>17</x:v>
      </x:c>
      <x:c r="Q109" s="21" t="n">
        <x:v>7</x:v>
      </x:c>
      <x:c r="R109" s="21" t="n">
        <x:v>3</x:v>
      </x:c>
      <x:c r="S109" s="17" t="str">
        <x:v>어은동 맛집 | 어은동 삼계탕 | 어은동 칼국수 | 어은동 한식</x:v>
      </x:c>
      <x:c r="T109" s="22" t="n">
        <x:v>36.3611833</x:v>
      </x:c>
      <x:c r="U109" s="22" t="n">
        <x:v>127.3536739</x:v>
      </x:c>
    </x:row>
    <x:row r="110" ht="32" customHeight="1">
      <x:c r="A110" s="18" t="str">
        <x:v>pending</x:v>
      </x:c>
      <x:c r="B110" s="18" t="str">
        <x:v>유성구</x:v>
      </x:c>
      <x:c r="C110" s="17" t="str">
        <x:v>오씨칼국수 도룡점</x:v>
      </x:c>
      <x:c r="D110" s="17" t="str">
        <x:v>한식&gt;칼국수,만두</x:v>
      </x:c>
      <x:c r="E110" s="19" t="n">
        <x:v>72</x:v>
      </x:c>
      <x:c r="F110" s="17" t="str">
        <x:v>지역성: 칼국수; 최근 12개월 블로그 100건</x:v>
      </x:c>
      <x:c r="G110" s="17" t="str">
        <x:v>대전광역시 유성구 도룡동 4-9 하우스D어반 1층 E103,104,105호</x:v>
      </x:c>
      <x:c r="H110" s="17" t="str">
        <x:v>대전광역시 유성구 엑스포로151번길 19 하우스D어반 1층 E103,104,105호</x:v>
      </x:c>
      <x:c r="I110" s="18" t="e">
        <x:f>HYPERLINK("https://search.naver.com/search.naver?where=blog&amp;query=%EC%98%A4%EC%94%A8%EC%B9%BC%EA%B5%AD%EC%88%98+%EB%8F%84%EB%A3%A1%EC%A0%90+%EC%9C%A0%EC%84%B1%EA%B5%AC","블로그 보기")</x:f>
        <x:v>HYPERLINK is not implemented. linkLocation=https://search.naver.com/search.naver?where=blog&amp;query=%EC%98%A4%EC%94%A8%EC%B9%BC%EA%B5%AD%EC%88%98+%EB%8F%84%EB%A3%A1%EC%A0%90+%EC%9C%A0%EC%84%B1%EA%B5%AC, friendlyName=블로그 보기</x:v>
      </x:c>
      <x:c r="J110" s="18" t="str"/>
      <x:c r="K110" s="18" t="str"/>
      <x:c r="L110" s="17" t="str"/>
      <x:c r="M110" s="20" t="n">
        <x:v>46223</x:v>
      </x:c>
      <x:c r="N110" s="21" t="n">
        <x:v>100</x:v>
      </x:c>
      <x:c r="O110" s="21" t="n">
        <x:v>97</x:v>
      </x:c>
      <x:c r="P110" s="21" t="n">
        <x:v>1072</x:v>
      </x:c>
      <x:c r="Q110" s="21" t="n">
        <x:v>3</x:v>
      </x:c>
      <x:c r="R110" s="21" t="n">
        <x:v>2</x:v>
      </x:c>
      <x:c r="S110" s="17" t="str">
        <x:v>유성구 칼국수 | 유성구 해산물</x:v>
      </x:c>
      <x:c r="T110" s="22" t="n">
        <x:v>36.3758371</x:v>
      </x:c>
      <x:c r="U110" s="22" t="n">
        <x:v>127.3950982</x:v>
      </x:c>
    </x:row>
    <x:row r="111" ht="32" customHeight="1">
      <x:c r="A111" s="18" t="str">
        <x:v>pending</x:v>
      </x:c>
      <x:c r="B111" s="18" t="str">
        <x:v>유성구</x:v>
      </x:c>
      <x:c r="C111" s="17" t="str">
        <x:v>장원갑칼국수 대전유성점</x:v>
      </x:c>
      <x:c r="D111" s="17" t="str">
        <x:v>한식&gt;칼국수,만두</x:v>
      </x:c>
      <x:c r="E111" s="19" t="n">
        <x:v>71</x:v>
      </x:c>
      <x:c r="F111" s="17" t="str">
        <x:v>지역성: 대전, 칼국수; 최근 12개월 블로그 100건</x:v>
      </x:c>
      <x:c r="G111" s="17" t="str">
        <x:v>대전광역시 유성구 덕명동 508-1 지상1층</x:v>
      </x:c>
      <x:c r="H111" s="17" t="str">
        <x:v>대전광역시 유성구 현충원로 288 지상1층</x:v>
      </x:c>
      <x:c r="I111" s="18" t="e">
        <x:f>HYPERLINK("https://search.naver.com/search.naver?where=blog&amp;query=%EC%9E%A5%EC%9B%90%EA%B0%91%EC%B9%BC%EA%B5%AD%EC%88%98+%EB%8C%80%EC%A0%84%EC%9C%A0%EC%84%B1%EC%A0%90+%EC%9C%A0%EC%84%B1%EA%B5%AC","블로그 보기")</x:f>
        <x:v>HYPERLINK is not implemented. linkLocation=https://search.naver.com/search.naver?where=blog&amp;query=%EC%9E%A5%EC%9B%90%EA%B0%91%EC%B9%BC%EA%B5%AD%EC%88%98+%EB%8C%80%EC%A0%84%EC%9C%A0%EC%84%B1%EC%A0%90+%EC%9C%A0%EC%84%B1%EA%B5%AC, friendlyName=블로그 보기</x:v>
      </x:c>
      <x:c r="J111" s="18" t="e">
        <x:f>HYPERLINK("https://app.catchtable.co.kr/ct/shop/JangwongabDaejoenYousung","업체 보기")</x:f>
        <x:v>HYPERLINK is not implemented. linkLocation=https://app.catchtable.co.kr/ct/shop/JangwongabDaejoenYousung, friendlyName=업체 보기</x:v>
      </x:c>
      <x:c r="K111" s="18" t="str"/>
      <x:c r="L111" s="17" t="str"/>
      <x:c r="M111" s="20" t="n">
        <x:v>46223</x:v>
      </x:c>
      <x:c r="N111" s="21" t="n">
        <x:v>100</x:v>
      </x:c>
      <x:c r="O111" s="21" t="n">
        <x:v>98</x:v>
      </x:c>
      <x:c r="P111" s="21" t="n">
        <x:v>3097</x:v>
      </x:c>
      <x:c r="Q111" s="21" t="n">
        <x:v>2</x:v>
      </x:c>
      <x:c r="R111" s="21" t="n">
        <x:v>1</x:v>
      </x:c>
      <x:c r="S111" s="17" t="str">
        <x:v>유성구 칼국수</x:v>
      </x:c>
      <x:c r="T111" s="22" t="n">
        <x:v>36.3599892</x:v>
      </x:c>
      <x:c r="U111" s="22" t="n">
        <x:v>127.3034737</x:v>
      </x:c>
    </x:row>
    <x:row r="112" ht="32" customHeight="1">
      <x:c r="A112" s="18" t="str">
        <x:v>pending</x:v>
      </x:c>
      <x:c r="B112" s="18" t="str">
        <x:v>유성구</x:v>
      </x:c>
      <x:c r="C112" s="17" t="str">
        <x:v>남도주막</x:v>
      </x:c>
      <x:c r="D112" s="17" t="str">
        <x:v>한식&gt;향토음식</x:v>
      </x:c>
      <x:c r="E112" s="19" t="n">
        <x:v>70</x:v>
      </x:c>
      <x:c r="F112" s="17" t="str">
        <x:v>지역성: 향토; 최근 12개월 블로그 35건</x:v>
      </x:c>
      <x:c r="G112" s="17" t="str">
        <x:v>대전광역시 유성구 지족동 908-8 101호</x:v>
      </x:c>
      <x:c r="H112" s="17" t="str">
        <x:v>대전광역시 유성구 은구비서로3번길 20 101호</x:v>
      </x:c>
      <x:c r="I112" s="18" t="e">
        <x:f>HYPERLINK("https://search.naver.com/search.naver?where=blog&amp;query=%EB%82%A8%EB%8F%84%EC%A3%BC%EB%A7%89+%EC%9C%A0%EC%84%B1%EA%B5%AC","블로그 보기")</x:f>
        <x:v>HYPERLINK is not implemented. linkLocation=https://search.naver.com/search.naver?where=blog&amp;query=%EB%82%A8%EB%8F%84%EC%A3%BC%EB%A7%89+%EC%9C%A0%EC%84%B1%EA%B5%AC, friendlyName=블로그 보기</x:v>
      </x:c>
      <x:c r="J112" s="18" t="str"/>
      <x:c r="K112" s="18" t="str"/>
      <x:c r="L112" s="17" t="str"/>
      <x:c r="M112" s="20" t="n">
        <x:v>46216</x:v>
      </x:c>
      <x:c r="N112" s="21" t="n">
        <x:v>35</x:v>
      </x:c>
      <x:c r="O112" s="21" t="n">
        <x:v>45</x:v>
      </x:c>
      <x:c r="P112" s="21" t="n">
        <x:v>222</x:v>
      </x:c>
      <x:c r="Q112" s="21" t="n">
        <x:v>3</x:v>
      </x:c>
      <x:c r="R112" s="21" t="n">
        <x:v>2</x:v>
      </x:c>
      <x:c r="S112" s="17" t="str">
        <x:v>어은동 향토음식 | 유성구 향토음식</x:v>
      </x:c>
      <x:c r="T112" s="22" t="n">
        <x:v>36.3727566</x:v>
      </x:c>
      <x:c r="U112" s="22" t="n">
        <x:v>127.3199423</x:v>
      </x:c>
    </x:row>
    <x:row r="113" ht="32" customHeight="1">
      <x:c r="A113" s="18" t="str">
        <x:v>pending</x:v>
      </x:c>
      <x:c r="B113" s="18" t="str">
        <x:v>유성구</x:v>
      </x:c>
      <x:c r="C113" s="17" t="str">
        <x:v>박봉명생갈비</x:v>
      </x:c>
      <x:c r="D113" s="17" t="str">
        <x:v>한식&gt;돼지고기구이</x:v>
      </x:c>
      <x:c r="E113" s="19" t="n">
        <x:v>70</x:v>
      </x:c>
      <x:c r="F113" s="17" t="str">
        <x:v>최근 12개월 블로그 100건</x:v>
      </x:c>
      <x:c r="G113" s="17" t="str">
        <x:v>대전광역시 유성구 봉명동 624-2 나이스펠리스103,104호</x:v>
      </x:c>
      <x:c r="H113" s="17" t="str">
        <x:v>대전광역시 유성구 온천북로33번길 35-17 나이스펠리스103,104호</x:v>
      </x:c>
      <x:c r="I113" s="18" t="e">
        <x:f>HYPERLINK("https://search.naver.com/search.naver?where=blog&amp;query=%EB%B0%95%EB%B4%89%EB%AA%85%EC%83%9D%EA%B0%88%EB%B9%84+%EC%9C%A0%EC%84%B1%EA%B5%AC","블로그 보기")</x:f>
        <x:v>HYPERLINK is not implemented. linkLocation=https://search.naver.com/search.naver?where=blog&amp;query=%EB%B0%95%EB%B4%89%EB%AA%85%EC%83%9D%EA%B0%88%EB%B9%84+%EC%9C%A0%EC%84%B1%EA%B5%AC, friendlyName=블로그 보기</x:v>
      </x:c>
      <x:c r="J113" s="18" t="str"/>
      <x:c r="K113" s="18" t="str"/>
      <x:c r="L113" s="17" t="str"/>
      <x:c r="M113" s="20" t="n">
        <x:v>46214</x:v>
      </x:c>
      <x:c r="N113" s="21" t="n">
        <x:v>100</x:v>
      </x:c>
      <x:c r="O113" s="21" t="n">
        <x:v>90</x:v>
      </x:c>
      <x:c r="P113" s="21" t="n">
        <x:v>654</x:v>
      </x:c>
      <x:c r="Q113" s="21" t="n">
        <x:v>4</x:v>
      </x:c>
      <x:c r="R113" s="21" t="n">
        <x:v>2</x:v>
      </x:c>
      <x:c r="S113" s="17" t="str">
        <x:v>어은동 노포 | 유성구 노포</x:v>
      </x:c>
      <x:c r="T113" s="22" t="n">
        <x:v>36.3585003</x:v>
      </x:c>
      <x:c r="U113" s="22" t="n">
        <x:v>127.3457941</x:v>
      </x:c>
    </x:row>
    <x:row r="114" ht="32" customHeight="1">
      <x:c r="A114" s="18" t="str">
        <x:v>pending</x:v>
      </x:c>
      <x:c r="B114" s="18" t="str">
        <x:v>유성구</x:v>
      </x:c>
      <x:c r="C114" s="17" t="str">
        <x:v>철수네매운갈비찜</x:v>
      </x:c>
      <x:c r="D114" s="17" t="str">
        <x:v>한식&gt;육류,고기요리</x:v>
      </x:c>
      <x:c r="E114" s="19" t="n">
        <x:v>70</x:v>
      </x:c>
      <x:c r="F114" s="17" t="str">
        <x:v>최근 12개월 블로그 100건</x:v>
      </x:c>
      <x:c r="G114" s="17" t="str">
        <x:v>대전광역시 유성구 봉명동 535-5 한진 오피스텔 1층 뒷편 주차장 입구</x:v>
      </x:c>
      <x:c r="H114" s="17" t="str">
        <x:v>대전광역시 유성구 대학로 31 한진 오피스텔 1층 뒷편 주차장 입구</x:v>
      </x:c>
      <x:c r="I114" s="18" t="e">
        <x:f>HYPERLINK("https://search.naver.com/search.naver?where=blog&amp;query=%EC%B2%A0%EC%88%98%EB%84%A4%EB%A7%A4%EC%9A%B4%EA%B0%88%EB%B9%84%EC%B0%9C+%EC%9C%A0%EC%84%B1%EA%B5%AC","블로그 보기")</x:f>
        <x:v>HYPERLINK is not implemented. linkLocation=https://search.naver.com/search.naver?where=blog&amp;query=%EC%B2%A0%EC%88%98%EB%84%A4%EB%A7%A4%EC%9A%B4%EA%B0%88%EB%B9%84%EC%B0%9C+%EC%9C%A0%EC%84%B1%EA%B5%AC, friendlyName=블로그 보기</x:v>
      </x:c>
      <x:c r="J114" s="18" t="str"/>
      <x:c r="K114" s="18" t="str"/>
      <x:c r="L114" s="17" t="str"/>
      <x:c r="M114" s="20" t="n">
        <x:v>46222</x:v>
      </x:c>
      <x:c r="N114" s="21" t="n">
        <x:v>100</x:v>
      </x:c>
      <x:c r="O114" s="21" t="n">
        <x:v>98</x:v>
      </x:c>
      <x:c r="P114" s="21" t="n">
        <x:v>528</x:v>
      </x:c>
      <x:c r="Q114" s="21" t="n">
        <x:v>4</x:v>
      </x:c>
      <x:c r="R114" s="21" t="n">
        <x:v>2</x:v>
      </x:c>
      <x:c r="S114" s="17" t="str">
        <x:v>어은동 노포 | 유성구 노포</x:v>
      </x:c>
      <x:c r="T114" s="22" t="n">
        <x:v>36.3565702</x:v>
      </x:c>
      <x:c r="U114" s="22" t="n">
        <x:v>127.3417067</x:v>
      </x:c>
    </x:row>
    <x:row r="115" ht="32" customHeight="1">
      <x:c r="A115" s="18" t="str">
        <x:v>pending</x:v>
      </x:c>
      <x:c r="B115" s="18" t="str">
        <x:v>유성구</x:v>
      </x:c>
      <x:c r="C115" s="17" t="str">
        <x:v>본죽&amp;비빔밥cafe 대전어은점</x:v>
      </x:c>
      <x:c r="D115" s="17" t="str">
        <x:v>음식점&gt;죽</x:v>
      </x:c>
      <x:c r="E115" s="19" t="n">
        <x:v>69</x:v>
      </x:c>
      <x:c r="F115" s="17" t="str">
        <x:v>지역성: 대전; 최근 12개월 블로그 46건</x:v>
      </x:c>
      <x:c r="G115" s="17" t="str">
        <x:v>대전광역시 유성구 어은동 110-1</x:v>
      </x:c>
      <x:c r="H115" s="17" t="str">
        <x:v>대전광역시 유성구 어은로58번길 10</x:v>
      </x:c>
      <x:c r="I115" s="18" t="e">
        <x:f>HYPERLINK("https://search.naver.com/search.naver?where=blog&amp;query=%EB%B3%B8%EC%A3%BD%26%EB%B9%84%EB%B9%94%EB%B0%A5cafe+%EB%8C%80%EC%A0%84%EC%96%B4%EC%9D%80%EC%A0%90+%EC%9C%A0%EC%84%B1%EA%B5%AC","블로그 보기")</x:f>
        <x:v>HYPERLINK is not implemented. linkLocation=https://search.naver.com/search.naver?where=blog&amp;query=%EB%B3%B8%EC%A3%BD%26%EB%B9%84%EB%B9%94%EB%B0%A5cafe+%EB%8C%80%EC%A0%84%EC%96%B4%EC%9D%80%EC%A0%90+%EC%9C%A0%EC%84%B1%EA%B5%AC, friendlyName=블로그 보기</x:v>
      </x:c>
      <x:c r="J115" s="18" t="e">
        <x:f>HYPERLINK("https://www.bonif.co.kr/menu/list?brdCd=BF102","업체 보기")</x:f>
        <x:v>HYPERLINK is not implemented. linkLocation=https://www.bonif.co.kr/menu/list?brdCd=BF102, friendlyName=업체 보기</x:v>
      </x:c>
      <x:c r="K115" s="18" t="str"/>
      <x:c r="L115" s="17" t="str"/>
      <x:c r="M115" s="20" t="n">
        <x:v>46117</x:v>
      </x:c>
      <x:c r="N115" s="21" t="n">
        <x:v>46</x:v>
      </x:c>
      <x:c r="O115" s="21" t="n">
        <x:v>25</x:v>
      </x:c>
      <x:c r="P115" s="21" t="n">
        <x:v>136</x:v>
      </x:c>
      <x:c r="Q115" s="21" t="n">
        <x:v>3</x:v>
      </x:c>
      <x:c r="R115" s="21" t="n">
        <x:v>2</x:v>
      </x:c>
      <x:c r="S115" s="17" t="str">
        <x:v>어은동 냉면 | 어은동 칼국수</x:v>
      </x:c>
      <x:c r="T115" s="22" t="n">
        <x:v>36.3634633</x:v>
      </x:c>
      <x:c r="U115" s="22" t="n">
        <x:v>127.356954</x:v>
      </x:c>
    </x:row>
    <x:row r="116" ht="32" customHeight="1">
      <x:c r="A116" s="18" t="str">
        <x:v>pending</x:v>
      </x:c>
      <x:c r="B116" s="18" t="str">
        <x:v>유성구</x:v>
      </x:c>
      <x:c r="C116" s="17" t="str">
        <x:v>유성본가 누룽지삼계탕</x:v>
      </x:c>
      <x:c r="D116" s="17" t="str">
        <x:v>한식&gt;백숙,삼계탕</x:v>
      </x:c>
      <x:c r="E116" s="19" t="n">
        <x:v>69</x:v>
      </x:c>
      <x:c r="F116" s="17" t="str">
        <x:v>최근 12개월 블로그 100건</x:v>
      </x:c>
      <x:c r="G116" s="17" t="str">
        <x:v>대전광역시 유성구 구암동 163-4</x:v>
      </x:c>
      <x:c r="H116" s="17" t="str">
        <x:v>대전광역시 유성구 유성대로 645</x:v>
      </x:c>
      <x:c r="I116" s="18" t="e">
        <x:f>HYPERLINK("https://search.naver.com/search.naver?where=blog&amp;query=%EC%9C%A0%EC%84%B1%EB%B3%B8%EA%B0%80+%EB%88%84%EB%A3%BD%EC%A7%80%EC%82%BC%EA%B3%84%ED%83%95+%EC%9C%A0%EC%84%B1%EA%B5%AC","블로그 보기")</x:f>
        <x:v>HYPERLINK is not implemented. linkLocation=https://search.naver.com/search.naver?where=blog&amp;query=%EC%9C%A0%EC%84%B1%EB%B3%B8%EA%B0%80+%EB%88%84%EB%A3%BD%EC%A7%80%EC%82%BC%EA%B3%84%ED%83%95+%EC%9C%A0%EC%84%B1%EA%B5%AC, friendlyName=블로그 보기</x:v>
      </x:c>
      <x:c r="J116" s="18" t="str"/>
      <x:c r="K116" s="18" t="str"/>
      <x:c r="L116" s="17" t="str"/>
      <x:c r="M116" s="20" t="n">
        <x:v>46222</x:v>
      </x:c>
      <x:c r="N116" s="21" t="n">
        <x:v>100</x:v>
      </x:c>
      <x:c r="O116" s="21" t="n">
        <x:v>94</x:v>
      </x:c>
      <x:c r="P116" s="21" t="n">
        <x:v>3425</x:v>
      </x:c>
      <x:c r="Q116" s="21" t="n">
        <x:v>4</x:v>
      </x:c>
      <x:c r="R116" s="21" t="n">
        <x:v>1</x:v>
      </x:c>
      <x:c r="S116" s="17" t="str">
        <x:v>유성구 맛집 | 유성구 삼계탕 | 유성구 한식</x:v>
      </x:c>
      <x:c r="T116" s="22" t="n">
        <x:v>36.3520364</x:v>
      </x:c>
      <x:c r="U116" s="22" t="n">
        <x:v>127.3282523</x:v>
      </x:c>
    </x:row>
    <x:row r="117" ht="32" customHeight="1">
      <x:c r="A117" s="18" t="str">
        <x:v>pending</x:v>
      </x:c>
      <x:c r="B117" s="18" t="str">
        <x:v>유성구</x:v>
      </x:c>
      <x:c r="C117" s="17" t="str">
        <x:v>달구지막창 유성점</x:v>
      </x:c>
      <x:c r="D117" s="17" t="str">
        <x:v>육류,고기요리&gt;곱창,막창,양</x:v>
      </x:c>
      <x:c r="E117" s="19" t="n">
        <x:v>68</x:v>
      </x:c>
      <x:c r="F117" s="17" t="str">
        <x:v>최근 12개월 블로그 67건</x:v>
      </x:c>
      <x:c r="G117" s="17" t="str">
        <x:v>대전광역시 유성구 어은동 100-1</x:v>
      </x:c>
      <x:c r="H117" s="17" t="str">
        <x:v>대전광역시 유성구 어은로57번길 59</x:v>
      </x:c>
      <x:c r="I117" s="18" t="e">
        <x:f>HYPERLINK("https://search.naver.com/search.naver?where=blog&amp;query=%EB%8B%AC%EA%B5%AC%EC%A7%80%EB%A7%89%EC%B0%BD+%EC%9C%A0%EC%84%B1%EC%A0%90+%EC%9C%A0%EC%84%B1%EA%B5%AC","블로그 보기")</x:f>
        <x:v>HYPERLINK is not implemented. linkLocation=https://search.naver.com/search.naver?where=blog&amp;query=%EB%8B%AC%EA%B5%AC%EC%A7%80%EB%A7%89%EC%B0%BD+%EC%9C%A0%EC%84%B1%EC%A0%90+%EC%9C%A0%EC%84%B1%EA%B5%AC, friendlyName=블로그 보기</x:v>
      </x:c>
      <x:c r="J117" s="18" t="str"/>
      <x:c r="K117" s="18" t="str"/>
      <x:c r="L117" s="17" t="str"/>
      <x:c r="M117" s="20" t="n">
        <x:v>46206</x:v>
      </x:c>
      <x:c r="N117" s="21" t="n">
        <x:v>67</x:v>
      </x:c>
      <x:c r="O117" s="21" t="n">
        <x:v>66</x:v>
      </x:c>
      <x:c r="P117" s="21" t="n">
        <x:v>122</x:v>
      </x:c>
      <x:c r="Q117" s="21" t="n">
        <x:v>4</x:v>
      </x:c>
      <x:c r="R117" s="21" t="n">
        <x:v>2</x:v>
      </x:c>
      <x:c r="S117" s="17" t="str">
        <x:v>어은동 고기 | 어은동 한식</x:v>
      </x:c>
      <x:c r="T117" s="22" t="n">
        <x:v>36.3620137</x:v>
      </x:c>
      <x:c r="U117" s="22" t="n">
        <x:v>127.3534088</x:v>
      </x:c>
    </x:row>
    <x:row r="118" ht="32" customHeight="1">
      <x:c r="A118" s="18" t="str">
        <x:v>pending</x:v>
      </x:c>
      <x:c r="B118" s="18" t="str">
        <x:v>유성구</x:v>
      </x:c>
      <x:c r="C118" s="17" t="str">
        <x:v>복사꽃피는집 대전점</x:v>
      </x:c>
      <x:c r="D118" s="17" t="str">
        <x:v>한식&gt;해물,생선요리&gt;주꾸미요리</x:v>
      </x:c>
      <x:c r="E118" s="19" t="n">
        <x:v>68</x:v>
      </x:c>
      <x:c r="F118" s="17" t="str">
        <x:v>지역성: 대전; 최근 12개월 블로그 100건</x:v>
      </x:c>
      <x:c r="G118" s="17" t="str">
        <x:v>대전광역시 유성구 계산동 305-10 1층 복사꽃피는집</x:v>
      </x:c>
      <x:c r="H118" s="17" t="str">
        <x:v>대전광역시 유성구 원계산로 238-34 1층 복사꽃피는집</x:v>
      </x:c>
      <x:c r="I118" s="18" t="e">
        <x:f>HYPERLINK("https://search.naver.com/search.naver?where=blog&amp;query=%EB%B3%B5%EC%82%AC%EA%BD%83%ED%94%BC%EB%8A%94%EC%A7%91+%EB%8C%80%EC%A0%84%EC%A0%90+%EC%9C%A0%EC%84%B1%EA%B5%AC","블로그 보기")</x:f>
        <x:v>HYPERLINK is not implemented. linkLocation=https://search.naver.com/search.naver?where=blog&amp;query=%EB%B3%B5%EC%82%AC%EA%BD%83%ED%94%BC%EB%8A%94%EC%A7%91+%EB%8C%80%EC%A0%84%EC%A0%90+%EC%9C%A0%EC%84%B1%EA%B5%AC, friendlyName=블로그 보기</x:v>
      </x:c>
      <x:c r="J118" s="18" t="e">
        <x:f>HYPERLINK("https://www.tabling.co.kr/restaurant/12090","업체 보기")</x:f>
        <x:v>HYPERLINK is not implemented. linkLocation=https://www.tabling.co.kr/restaurant/12090, friendlyName=업체 보기</x:v>
      </x:c>
      <x:c r="K118" s="18" t="str"/>
      <x:c r="L118" s="17" t="str"/>
      <x:c r="M118" s="20" t="n">
        <x:v>46221</x:v>
      </x:c>
      <x:c r="N118" s="21" t="n">
        <x:v>100</x:v>
      </x:c>
      <x:c r="O118" s="21" t="n">
        <x:v>91</x:v>
      </x:c>
      <x:c r="P118" s="21" t="n">
        <x:v>1164</x:v>
      </x:c>
      <x:c r="Q118" s="21" t="n">
        <x:v>2</x:v>
      </x:c>
      <x:c r="R118" s="21" t="n">
        <x:v>2</x:v>
      </x:c>
      <x:c r="S118" s="17" t="str">
        <x:v>유성구 한식 | 유성구 해산물</x:v>
      </x:c>
      <x:c r="T118" s="22" t="n">
        <x:v>36.3351645</x:v>
      </x:c>
      <x:c r="U118" s="22" t="n">
        <x:v>127.3012255</x:v>
      </x:c>
    </x:row>
    <x:row r="119" ht="32" customHeight="1">
      <x:c r="A119" s="18" t="str">
        <x:v>pending</x:v>
      </x:c>
      <x:c r="B119" s="18" t="str">
        <x:v>유성구</x:v>
      </x:c>
      <x:c r="C119" s="17" t="str">
        <x:v>칼 누들바 대전봉명점</x:v>
      </x:c>
      <x:c r="D119" s="17" t="str">
        <x:v>음식점&gt;한식</x:v>
      </x:c>
      <x:c r="E119" s="19" t="n">
        <x:v>68</x:v>
      </x:c>
      <x:c r="F119" s="17" t="str">
        <x:v>지역성: 대전; 최근 12개월 블로그 100건</x:v>
      </x:c>
      <x:c r="G119" s="17" t="str">
        <x:v>대전광역시 유성구 봉명동 621-1 팰릭스타워 1층 106호</x:v>
      </x:c>
      <x:c r="H119" s="17" t="str">
        <x:v>대전광역시 유성구 문화원로 90 팰릭스타워 1층 106호</x:v>
      </x:c>
      <x:c r="I119" s="18" t="e">
        <x:f>HYPERLINK("https://search.naver.com/search.naver?where=blog&amp;query=%EC%B9%BC+%EB%88%84%EB%93%A4%EB%B0%94+%EB%8C%80%EC%A0%84%EB%B4%89%EB%AA%85%EC%A0%90+%EC%9C%A0%EC%84%B1%EA%B5%AC","블로그 보기")</x:f>
        <x:v>HYPERLINK is not implemented. linkLocation=https://search.naver.com/search.naver?where=blog&amp;query=%EC%B9%BC+%EB%88%84%EB%93%A4%EB%B0%94+%EB%8C%80%EC%A0%84%EB%B4%89%EB%AA%85%EC%A0%90+%EC%9C%A0%EC%84%B1%EA%B5%AC, friendlyName=블로그 보기</x:v>
      </x:c>
      <x:c r="J119" s="18" t="str"/>
      <x:c r="K119" s="18" t="str"/>
      <x:c r="L119" s="17" t="str"/>
      <x:c r="M119" s="20" t="n">
        <x:v>46223</x:v>
      </x:c>
      <x:c r="N119" s="21" t="n">
        <x:v>100</x:v>
      </x:c>
      <x:c r="O119" s="21" t="n">
        <x:v>97</x:v>
      </x:c>
      <x:c r="P119" s="21" t="n">
        <x:v>468</x:v>
      </x:c>
      <x:c r="Q119" s="21" t="n">
        <x:v>3</x:v>
      </x:c>
      <x:c r="R119" s="21" t="n">
        <x:v>1</x:v>
      </x:c>
      <x:c r="S119" s="17" t="str">
        <x:v>어은동 두부두루치기 | 유성구 두부두루치기</x:v>
      </x:c>
      <x:c r="T119" s="22" t="n">
        <x:v>36.3586941</x:v>
      </x:c>
      <x:c r="U119" s="22" t="n">
        <x:v>127.3457879</x:v>
      </x:c>
    </x:row>
    <x:row r="120" ht="32" customHeight="1">
      <x:c r="A120" s="18" t="str">
        <x:v>pending</x:v>
      </x:c>
      <x:c r="B120" s="18" t="str">
        <x:v>유성구</x:v>
      </x:c>
      <x:c r="C120" s="17" t="str">
        <x:v>전통순대국밥</x:v>
      </x:c>
      <x:c r="D120" s="17" t="str">
        <x:v>한식&gt;순대,순댓국</x:v>
      </x:c>
      <x:c r="E120" s="19" t="n">
        <x:v>67</x:v>
      </x:c>
      <x:c r="F120" s="17" t="str">
        <x:v>최근 12개월 블로그 100건</x:v>
      </x:c>
      <x:c r="G120" s="17" t="str">
        <x:v>대전광역시 유성구 어은동 106-1</x:v>
      </x:c>
      <x:c r="H120" s="17" t="str">
        <x:v>대전광역시 유성구 대학로 187</x:v>
      </x:c>
      <x:c r="I120" s="18" t="e">
        <x:f>HYPERLINK("https://search.naver.com/search.naver?where=blog&amp;query=%EC%A0%84%ED%86%B5%EC%88%9C%EB%8C%80%EA%B5%AD%EB%B0%A5+%EC%9C%A0%EC%84%B1%EA%B5%AC","블로그 보기")</x:f>
        <x:v>HYPERLINK is not implemented. linkLocation=https://search.naver.com/search.naver?where=blog&amp;query=%EC%A0%84%ED%86%B5%EC%88%9C%EB%8C%80%EA%B5%AD%EB%B0%A5+%EC%9C%A0%EC%84%B1%EA%B5%AC, friendlyName=블로그 보기</x:v>
      </x:c>
      <x:c r="J120" s="18" t="str"/>
      <x:c r="K120" s="18" t="str"/>
      <x:c r="L120" s="17" t="str"/>
      <x:c r="M120" s="20" t="n">
        <x:v>46221</x:v>
      </x:c>
      <x:c r="N120" s="21" t="n">
        <x:v>100</x:v>
      </x:c>
      <x:c r="O120" s="21" t="n">
        <x:v>97</x:v>
      </x:c>
      <x:c r="P120" s="21" t="n">
        <x:v>1045</x:v>
      </x:c>
      <x:c r="Q120" s="21" t="n">
        <x:v>3</x:v>
      </x:c>
      <x:c r="R120" s="21" t="n">
        <x:v>2</x:v>
      </x:c>
      <x:c r="S120" s="17" t="str">
        <x:v>어은동 고기 | 어은동 국밥</x:v>
      </x:c>
      <x:c r="T120" s="22" t="n">
        <x:v>36.3608203</x:v>
      </x:c>
      <x:c r="U120" s="22" t="n">
        <x:v>127.3541136</x:v>
      </x:c>
    </x:row>
    <x:row r="121" ht="32" customHeight="1">
      <x:c r="A121" s="18" t="str">
        <x:v>pending</x:v>
      </x:c>
      <x:c r="B121" s="18" t="str">
        <x:v>유성구</x:v>
      </x:c>
      <x:c r="C121" s="17" t="str">
        <x:v>제면소의하루 대전어은본점</x:v>
      </x:c>
      <x:c r="D121" s="17" t="str">
        <x:v>음식점&gt;일식&gt;우동,소바</x:v>
      </x:c>
      <x:c r="E121" s="19" t="n">
        <x:v>67</x:v>
      </x:c>
      <x:c r="F121" s="17" t="str">
        <x:v>지역성: 본점, 대전; 최근 12개월 블로그 95건</x:v>
      </x:c>
      <x:c r="G121" s="17" t="str">
        <x:v>대전광역시 유성구 어은동 111-1 1층</x:v>
      </x:c>
      <x:c r="H121" s="17" t="str">
        <x:v>대전광역시 유성구 어은로58번길 14 1층</x:v>
      </x:c>
      <x:c r="I121" s="18" t="e">
        <x:f>HYPERLINK("https://search.naver.com/search.naver?where=blog&amp;query=%EC%A0%9C%EB%A9%B4%EC%86%8C%EC%9D%98%ED%95%98%EB%A3%A8+%EB%8C%80%EC%A0%84%EC%96%B4%EC%9D%80%EB%B3%B8%EC%A0%90+%EC%9C%A0%EC%84%B1%EA%B5%AC","블로그 보기")</x:f>
        <x:v>HYPERLINK is not implemented. linkLocation=https://search.naver.com/search.naver?where=blog&amp;query=%EC%A0%9C%EB%A9%B4%EC%86%8C%EC%9D%98%ED%95%98%EB%A3%A8+%EB%8C%80%EC%A0%84%EC%96%B4%EC%9D%80%EB%B3%B8%EC%A0%90+%EC%9C%A0%EC%84%B1%EA%B5%AC, friendlyName=블로그 보기</x:v>
      </x:c>
      <x:c r="J121" s="18" t="str"/>
      <x:c r="K121" s="18" t="str"/>
      <x:c r="L121" s="17" t="str"/>
      <x:c r="M121" s="20" t="n">
        <x:v>46223</x:v>
      </x:c>
      <x:c r="N121" s="21" t="n">
        <x:v>95</x:v>
      </x:c>
      <x:c r="O121" s="21" t="n">
        <x:v>79</x:v>
      </x:c>
      <x:c r="P121" s="21" t="n">
        <x:v>135</x:v>
      </x:c>
      <x:c r="Q121" s="21" t="n">
        <x:v>2</x:v>
      </x:c>
      <x:c r="R121" s="21" t="n">
        <x:v>1</x:v>
      </x:c>
      <x:c r="S121" s="17" t="str">
        <x:v>어은동 맛집</x:v>
      </x:c>
      <x:c r="T121" s="22" t="n">
        <x:v>36.3635765</x:v>
      </x:c>
      <x:c r="U121" s="22" t="n">
        <x:v>127.3573136</x:v>
      </x:c>
    </x:row>
    <x:row r="122" ht="32" customHeight="1">
      <x:c r="A122" s="18" t="str">
        <x:v>pending</x:v>
      </x:c>
      <x:c r="B122" s="18" t="str">
        <x:v>유성구</x:v>
      </x:c>
      <x:c r="C122" s="17" t="str">
        <x:v>제주똥돼지오겹살</x:v>
      </x:c>
      <x:c r="D122" s="17" t="str">
        <x:v>한식&gt;돼지고기구이</x:v>
      </x:c>
      <x:c r="E122" s="19" t="n">
        <x:v>67</x:v>
      </x:c>
      <x:c r="F122" s="17" t="str">
        <x:v>최근 12개월 블로그 100건</x:v>
      </x:c>
      <x:c r="G122" s="17" t="str">
        <x:v>대전광역시 유성구 봉명동 549-6</x:v>
      </x:c>
      <x:c r="H122" s="17" t="str">
        <x:v>대전광역시 유성구 온천로 64</x:v>
      </x:c>
      <x:c r="I122" s="18" t="e">
        <x:f>HYPERLINK("https://search.naver.com/search.naver?where=blog&amp;query=%EC%A0%9C%EC%A3%BC%EB%98%A5%EB%8F%BC%EC%A7%80%EC%98%A4%EA%B2%B9%EC%82%B4+%EC%9C%A0%EC%84%B1%EA%B5%AC","블로그 보기")</x:f>
        <x:v>HYPERLINK is not implemented. linkLocation=https://search.naver.com/search.naver?where=blog&amp;query=%EC%A0%9C%EC%A3%BC%EB%98%A5%EB%8F%BC%EC%A7%80%EC%98%A4%EA%B2%B9%EC%82%B4+%EC%9C%A0%EC%84%B1%EA%B5%AC, friendlyName=블로그 보기</x:v>
      </x:c>
      <x:c r="J122" s="18" t="str"/>
      <x:c r="K122" s="18" t="str"/>
      <x:c r="L122" s="17" t="str"/>
      <x:c r="M122" s="20" t="n">
        <x:v>46222</x:v>
      </x:c>
      <x:c r="N122" s="21" t="n">
        <x:v>100</x:v>
      </x:c>
      <x:c r="O122" s="21" t="n">
        <x:v>99</x:v>
      </x:c>
      <x:c r="P122" s="21" t="n">
        <x:v>1358</x:v>
      </x:c>
      <x:c r="Q122" s="21" t="n">
        <x:v>3</x:v>
      </x:c>
      <x:c r="R122" s="21" t="n">
        <x:v>2</x:v>
      </x:c>
      <x:c r="S122" s="17" t="str">
        <x:v>어은동 노포 | 유성구 노포</x:v>
      </x:c>
      <x:c r="T122" s="22" t="n">
        <x:v>36.3548165</x:v>
      </x:c>
      <x:c r="U122" s="22" t="n">
        <x:v>127.3448654</x:v>
      </x:c>
    </x:row>
    <x:row r="123" ht="32" customHeight="1">
      <x:c r="A123" s="18" t="str">
        <x:v>pending</x:v>
      </x:c>
      <x:c r="B123" s="18" t="str">
        <x:v>유성구</x:v>
      </x:c>
      <x:c r="C123" s="17" t="str">
        <x:v>대전 태평소국밥</x:v>
      </x:c>
      <x:c r="D123" s="17" t="str">
        <x:v>한식&gt;국밥</x:v>
      </x:c>
      <x:c r="E123" s="19" t="n">
        <x:v>66</x:v>
      </x:c>
      <x:c r="F123" s="17" t="str">
        <x:v>지역성: 대전; 최근 12개월 블로그 100건</x:v>
      </x:c>
      <x:c r="G123" s="17" t="str">
        <x:v>대전광역시 유성구 봉명동 676-3</x:v>
      </x:c>
      <x:c r="H123" s="17" t="str">
        <x:v>대전광역시 유성구 문화원로 140</x:v>
      </x:c>
      <x:c r="I123" s="18" t="e">
        <x:f>HYPERLINK("https://search.naver.com/search.naver?where=blog&amp;query=%EB%8C%80%EC%A0%84+%ED%83%9C%ED%8F%89%EC%86%8C%EA%B5%AD%EB%B0%A5+%EC%9C%A0%EC%84%B1%EA%B5%AC","블로그 보기")</x:f>
        <x:v>HYPERLINK is not implemented. linkLocation=https://search.naver.com/search.naver?where=blog&amp;query=%EB%8C%80%EC%A0%84+%ED%83%9C%ED%8F%89%EC%86%8C%EA%B5%AD%EB%B0%A5+%EC%9C%A0%EC%84%B1%EA%B5%AC, friendlyName=블로그 보기</x:v>
      </x:c>
      <x:c r="J123" s="18" t="str"/>
      <x:c r="K123" s="18" t="str"/>
      <x:c r="L123" s="17" t="str"/>
      <x:c r="M123" s="20" t="n">
        <x:v>46223</x:v>
      </x:c>
      <x:c r="N123" s="21" t="n">
        <x:v>100</x:v>
      </x:c>
      <x:c r="O123" s="21" t="n">
        <x:v>100</x:v>
      </x:c>
      <x:c r="P123" s="21" t="n">
        <x:v>8645</x:v>
      </x:c>
      <x:c r="Q123" s="21" t="n">
        <x:v>2</x:v>
      </x:c>
      <x:c r="R123" s="21" t="n">
        <x:v>1</x:v>
      </x:c>
      <x:c r="S123" s="17" t="str">
        <x:v>유성구 국밥</x:v>
      </x:c>
      <x:c r="T123" s="22" t="n">
        <x:v>36.3581068</x:v>
      </x:c>
      <x:c r="U123" s="22" t="n">
        <x:v>127.3512933</x:v>
      </x:c>
    </x:row>
    <x:row r="124" ht="32" customHeight="1">
      <x:c r="A124" s="18" t="str">
        <x:v>pending</x:v>
      </x:c>
      <x:c r="B124" s="18" t="str">
        <x:v>유성구</x:v>
      </x:c>
      <x:c r="C124" s="17" t="str">
        <x:v>진원소우 대전봉명점</x:v>
      </x:c>
      <x:c r="D124" s="17" t="str">
        <x:v>음식점&gt;한식&gt;육류,고기요리&gt;소고기구이</x:v>
      </x:c>
      <x:c r="E124" s="19" t="n">
        <x:v>66</x:v>
      </x:c>
      <x:c r="F124" s="17" t="str">
        <x:v>지역성: 대전; 최근 12개월 블로그 73건</x:v>
      </x:c>
      <x:c r="G124" s="17" t="str">
        <x:v>대전광역시 유성구 봉명동 611-11 2층 201, 202호</x:v>
      </x:c>
      <x:c r="H124" s="17" t="str">
        <x:v>대전광역시 유성구 문화원로 93 2층 201, 202호</x:v>
      </x:c>
      <x:c r="I124" s="18" t="e">
        <x:f>HYPERLINK("https://search.naver.com/search.naver?where=blog&amp;query=%EC%A7%84%EC%9B%90%EC%86%8C%EC%9A%B0+%EB%8C%80%EC%A0%84%EB%B4%89%EB%AA%85%EC%A0%90+%EC%9C%A0%EC%84%B1%EA%B5%AC","블로그 보기")</x:f>
        <x:v>HYPERLINK is not implemented. linkLocation=https://search.naver.com/search.naver?where=blog&amp;query=%EC%A7%84%EC%9B%90%EC%86%8C%EC%9A%B0+%EB%8C%80%EC%A0%84%EB%B4%89%EB%AA%85%EC%A0%90+%EC%9C%A0%EC%84%B1%EA%B5%AC, friendlyName=블로그 보기</x:v>
      </x:c>
      <x:c r="J124" s="18" t="e">
        <x:f>HYPERLINK("https://www.instagram.com/jinwon_sowoo_bongmyung","업체 보기")</x:f>
        <x:v>HYPERLINK is not implemented. linkLocation=https://www.instagram.com/jinwon_sowoo_bongmyung, friendlyName=업체 보기</x:v>
      </x:c>
      <x:c r="K124" s="18" t="str"/>
      <x:c r="L124" s="17" t="str"/>
      <x:c r="M124" s="20" t="n">
        <x:v>46221</x:v>
      </x:c>
      <x:c r="N124" s="21" t="n">
        <x:v>73</x:v>
      </x:c>
      <x:c r="O124" s="21" t="n">
        <x:v>97</x:v>
      </x:c>
      <x:c r="P124" s="21" t="n">
        <x:v>282</x:v>
      </x:c>
      <x:c r="Q124" s="21" t="n">
        <x:v>2</x:v>
      </x:c>
      <x:c r="R124" s="21" t="n">
        <x:v>2</x:v>
      </x:c>
      <x:c r="S124" s="17" t="str">
        <x:v>유성구 고기 | 유성구 냉면</x:v>
      </x:c>
      <x:c r="T124" s="22" t="n">
        <x:v>36.3592012</x:v>
      </x:c>
      <x:c r="U124" s="22" t="n">
        <x:v>127.3461452</x:v>
      </x:c>
    </x:row>
    <x:row r="125" ht="32" customHeight="1">
      <x:c r="A125" s="18" t="str">
        <x:v>pending</x:v>
      </x:c>
      <x:c r="B125" s="18" t="str">
        <x:v>유성구</x:v>
      </x:c>
      <x:c r="C125" s="17" t="str">
        <x:v>밥하기싫은날 후루룩손칼국수</x:v>
      </x:c>
      <x:c r="D125" s="17" t="str">
        <x:v>음식점&gt;한식</x:v>
      </x:c>
      <x:c r="E125" s="19" t="n">
        <x:v>65</x:v>
      </x:c>
      <x:c r="F125" s="17" t="str">
        <x:v>지역성: 칼국수; 최근 12개월 블로그 100건</x:v>
      </x:c>
      <x:c r="G125" s="17" t="str">
        <x:v>대전광역시 유성구 반석동 659-1</x:v>
      </x:c>
      <x:c r="H125" s="17" t="str">
        <x:v>대전광역시 유성구 반석로11번길 66-11</x:v>
      </x:c>
      <x:c r="I125" s="18" t="e">
        <x:f>HYPERLINK("https://search.naver.com/search.naver?where=blog&amp;query=%EB%B0%A5%ED%95%98%EA%B8%B0%EC%8B%AB%EC%9D%80%EB%82%A0+%ED%9B%84%EB%A3%A8%EB%A3%A9%EC%86%90%EC%B9%BC%EA%B5%AD%EC%88%98+%EC%9C%A0%EC%84%B1%EA%B5%AC","블로그 보기")</x:f>
        <x:v>HYPERLINK is not implemented. linkLocation=https://search.naver.com/search.naver?where=blog&amp;query=%EB%B0%A5%ED%95%98%EA%B8%B0%EC%8B%AB%EC%9D%80%EB%82%A0+%ED%9B%84%EB%A3%A8%EB%A3%A9%EC%86%90%EC%B9%BC%EA%B5%AD%EC%88%98+%EC%9C%A0%EC%84%B1%EA%B5%AC, friendlyName=블로그 보기</x:v>
      </x:c>
      <x:c r="J125" s="18" t="e">
        <x:f>HYPERLINK("https://www.instagram.com/hururukkalguksu/","업체 보기")</x:f>
        <x:v>HYPERLINK is not implemented. linkLocation=https://www.instagram.com/hururukkalguksu/, friendlyName=업체 보기</x:v>
      </x:c>
      <x:c r="K125" s="18" t="str"/>
      <x:c r="L125" s="17" t="str"/>
      <x:c r="M125" s="20" t="n">
        <x:v>46220</x:v>
      </x:c>
      <x:c r="N125" s="21" t="n">
        <x:v>100</x:v>
      </x:c>
      <x:c r="O125" s="21" t="n">
        <x:v>97</x:v>
      </x:c>
      <x:c r="P125" s="21" t="n">
        <x:v>1158</x:v>
      </x:c>
      <x:c r="Q125" s="21" t="n">
        <x:v>2</x:v>
      </x:c>
      <x:c r="R125" s="21" t="n">
        <x:v>1</x:v>
      </x:c>
      <x:c r="S125" s="17" t="str">
        <x:v>유성구 두부두루치기</x:v>
      </x:c>
      <x:c r="T125" s="22" t="n">
        <x:v>36.3892368</x:v>
      </x:c>
      <x:c r="U125" s="22" t="n">
        <x:v>127.3152853</x:v>
      </x:c>
    </x:row>
    <x:row r="126" ht="32" customHeight="1">
      <x:c r="A126" s="18" t="str">
        <x:v>pending</x:v>
      </x:c>
      <x:c r="B126" s="18" t="str">
        <x:v>유성구</x:v>
      </x:c>
      <x:c r="C126" s="17" t="str">
        <x:v>운탄 반석 본점</x:v>
      </x:c>
      <x:c r="D126" s="17" t="str">
        <x:v>음식점&gt;한식</x:v>
      </x:c>
      <x:c r="E126" s="19" t="n">
        <x:v>65</x:v>
      </x:c>
      <x:c r="F126" s="17" t="str">
        <x:v>지역성: 본점; 최근 12개월 블로그 86건</x:v>
      </x:c>
      <x:c r="G126" s="17" t="str">
        <x:v>대전광역시 유성구 반석동 639-5 반석역 2번 출구 도보 5분</x:v>
      </x:c>
      <x:c r="H126" s="17" t="str">
        <x:v>대전광역시 유성구 반석로11번길 8 반석역 2번 출구 도보 5분</x:v>
      </x:c>
      <x:c r="I126" s="18" t="e">
        <x:f>HYPERLINK("https://search.naver.com/search.naver?where=blog&amp;query=%EC%9A%B4%ED%83%84+%EB%B0%98%EC%84%9D+%EB%B3%B8%EC%A0%90+%EC%9C%A0%EC%84%B1%EA%B5%AC","블로그 보기")</x:f>
        <x:v>HYPERLINK is not implemented. linkLocation=https://search.naver.com/search.naver?where=blog&amp;query=%EC%9A%B4%ED%83%84+%EB%B0%98%EC%84%9D+%EB%B3%B8%EC%A0%90+%EC%9C%A0%EC%84%B1%EA%B5%AC, friendlyName=블로그 보기</x:v>
      </x:c>
      <x:c r="J126" s="18" t="e">
        <x:f>HYPERLINK("http://www.instagram.com/untan.korea","업체 보기")</x:f>
        <x:v>HYPERLINK is not implemented. linkLocation=http://www.instagram.com/untan.korea, friendlyName=업체 보기</x:v>
      </x:c>
      <x:c r="K126" s="18" t="str"/>
      <x:c r="L126" s="17" t="str"/>
      <x:c r="M126" s="20" t="n">
        <x:v>46211</x:v>
      </x:c>
      <x:c r="N126" s="21" t="n">
        <x:v>86</x:v>
      </x:c>
      <x:c r="O126" s="21" t="n">
        <x:v>64</x:v>
      </x:c>
      <x:c r="P126" s="21" t="n">
        <x:v>110</x:v>
      </x:c>
      <x:c r="Q126" s="21" t="n">
        <x:v>2</x:v>
      </x:c>
      <x:c r="R126" s="21" t="n">
        <x:v>2</x:v>
      </x:c>
      <x:c r="S126" s="17" t="str">
        <x:v>어은동 노포 | 유성구 노포</x:v>
      </x:c>
      <x:c r="T126" s="22" t="n">
        <x:v>36.3912896</x:v>
      </x:c>
      <x:c r="U126" s="22" t="n">
        <x:v>127.3130716</x:v>
      </x:c>
    </x:row>
    <x:row r="127" ht="32" customHeight="1">
      <x:c r="A127" s="18" t="str">
        <x:v>pending</x:v>
      </x:c>
      <x:c r="B127" s="18" t="str">
        <x:v>유성구</x:v>
      </x:c>
      <x:c r="C127" s="17" t="str">
        <x:v>작교</x:v>
      </x:c>
      <x:c r="D127" s="17" t="str">
        <x:v>술집&gt;요리주점</x:v>
      </x:c>
      <x:c r="E127" s="19" t="n">
        <x:v>65</x:v>
      </x:c>
      <x:c r="F127" s="17" t="str">
        <x:v>최근 12개월 블로그 34건</x:v>
      </x:c>
      <x:c r="G127" s="17" t="str">
        <x:v>대전광역시 유성구 어은동 105-12</x:v>
      </x:c>
      <x:c r="H127" s="17" t="str">
        <x:v>대전광역시 유성구 농대로2번길 7-11</x:v>
      </x:c>
      <x:c r="I127" s="18" t="e">
        <x:f>HYPERLINK("https://search.naver.com/search.naver?where=blog&amp;query=%EC%9E%91%EA%B5%90+%EC%9C%A0%EC%84%B1%EA%B5%AC","블로그 보기")</x:f>
        <x:v>HYPERLINK is not implemented. linkLocation=https://search.naver.com/search.naver?where=blog&amp;query=%EC%9E%91%EA%B5%90+%EC%9C%A0%EC%84%B1%EA%B5%AC, friendlyName=블로그 보기</x:v>
      </x:c>
      <x:c r="J127" s="18" t="e">
        <x:f>HYPERLINK("http://instagram.com/zak_kyo","업체 보기")</x:f>
        <x:v>HYPERLINK is not implemented. linkLocation=http://instagram.com/zak_kyo, friendlyName=업체 보기</x:v>
      </x:c>
      <x:c r="K127" s="18" t="str"/>
      <x:c r="L127" s="17" t="str"/>
      <x:c r="M127" s="20" t="n">
        <x:v>46219</x:v>
      </x:c>
      <x:c r="N127" s="21" t="n">
        <x:v>34</x:v>
      </x:c>
      <x:c r="O127" s="21" t="n">
        <x:v>93</x:v>
      </x:c>
      <x:c r="P127" s="21" t="n">
        <x:v>246</x:v>
      </x:c>
      <x:c r="Q127" s="21" t="n">
        <x:v>3</x:v>
      </x:c>
      <x:c r="R127" s="21" t="n">
        <x:v>2</x:v>
      </x:c>
      <x:c r="S127" s="17" t="str">
        <x:v>어은동 한식 | 어은동 해산물</x:v>
      </x:c>
      <x:c r="T127" s="22" t="n">
        <x:v>36.361443</x:v>
      </x:c>
      <x:c r="U127" s="22" t="n">
        <x:v>127.353757</x:v>
      </x:c>
    </x:row>
    <x:row r="128" ht="32" customHeight="1">
      <x:c r="A128" s="18" t="str">
        <x:v>pending</x:v>
      </x:c>
      <x:c r="B128" s="18" t="str">
        <x:v>유성구</x:v>
      </x:c>
      <x:c r="C128" s="17" t="str">
        <x:v>골목</x:v>
      </x:c>
      <x:c r="D128" s="17" t="str">
        <x:v>한식&gt;돼지고기구이</x:v>
      </x:c>
      <x:c r="E128" s="19" t="n">
        <x:v>64</x:v>
      </x:c>
      <x:c r="F128" s="17" t="str">
        <x:v>최근 12개월 블로그 100건</x:v>
      </x:c>
      <x:c r="G128" s="17" t="str">
        <x:v>대전광역시 유성구 어은동 108-3 1층</x:v>
      </x:c>
      <x:c r="H128" s="17" t="str">
        <x:v>대전광역시 유성구 어은로57번길 5 1층</x:v>
      </x:c>
      <x:c r="I128" s="18" t="e">
        <x:f>HYPERLINK("https://search.naver.com/search.naver?where=blog&amp;query=%EA%B3%A8%EB%AA%A9+%EC%9C%A0%EC%84%B1%EA%B5%AC","블로그 보기")</x:f>
        <x:v>HYPERLINK is not implemented. linkLocation=https://search.naver.com/search.naver?where=blog&amp;query=%EA%B3%A8%EB%AA%A9+%EC%9C%A0%EC%84%B1%EA%B5%AC, friendlyName=블로그 보기</x:v>
      </x:c>
      <x:c r="J128" s="18" t="str"/>
      <x:c r="K128" s="18" t="str"/>
      <x:c r="L128" s="17" t="str"/>
      <x:c r="M128" s="20" t="n">
        <x:v>46223</x:v>
      </x:c>
      <x:c r="N128" s="21" t="n">
        <x:v>100</x:v>
      </x:c>
      <x:c r="O128" s="21" t="n">
        <x:v>63</x:v>
      </x:c>
      <x:c r="P128" s="21" t="n">
        <x:v>64779</x:v>
      </x:c>
      <x:c r="Q128" s="21" t="n">
        <x:v>2</x:v>
      </x:c>
      <x:c r="R128" s="21" t="n">
        <x:v>2</x:v>
      </x:c>
      <x:c r="S128" s="17" t="str">
        <x:v>어은동 고기 | 어은동 국밥</x:v>
      </x:c>
      <x:c r="T128" s="22" t="n">
        <x:v>36.3630313</x:v>
      </x:c>
      <x:c r="U128" s="22" t="n">
        <x:v>127.3562016</x:v>
      </x:c>
    </x:row>
    <x:row r="129" ht="32" customHeight="1">
      <x:c r="A129" s="18" t="str">
        <x:v>pending</x:v>
      </x:c>
      <x:c r="B129" s="18" t="str">
        <x:v>유성구</x:v>
      </x:c>
      <x:c r="C129" s="17" t="str">
        <x:v>부산갈매기 대전봉명점</x:v>
      </x:c>
      <x:c r="D129" s="17" t="str">
        <x:v>한식&gt;육류,고기요리</x:v>
      </x:c>
      <x:c r="E129" s="19" t="n">
        <x:v>64</x:v>
      </x:c>
      <x:c r="F129" s="17" t="str">
        <x:v>지역성: 대전; 최근 12개월 블로그 100건</x:v>
      </x:c>
      <x:c r="G129" s="17" t="str">
        <x:v>대전광역시 유성구 봉명동 636-1 지상1층</x:v>
      </x:c>
      <x:c r="H129" s="17" t="str">
        <x:v>대전광역시 유성구 온천북로 21 지상1층</x:v>
      </x:c>
      <x:c r="I129" s="18" t="e">
        <x:f>HYPERLINK("https://search.naver.com/search.naver?where=blog&amp;query=%EB%B6%80%EC%82%B0%EA%B0%88%EB%A7%A4%EA%B8%B0+%EB%8C%80%EC%A0%84%EB%B4%89%EB%AA%85%EC%A0%90+%EC%9C%A0%EC%84%B1%EA%B5%AC","블로그 보기")</x:f>
        <x:v>HYPERLINK is not implemented. linkLocation=https://search.naver.com/search.naver?where=blog&amp;query=%EB%B6%80%EC%82%B0%EA%B0%88%EB%A7%A4%EA%B8%B0+%EB%8C%80%EC%A0%84%EB%B4%89%EB%AA%85%EC%A0%90+%EC%9C%A0%EC%84%B1%EA%B5%AC, friendlyName=블로그 보기</x:v>
      </x:c>
      <x:c r="J129" s="18" t="e">
        <x:f>HYPERLINK("https://busanseagull.com","업체 보기")</x:f>
        <x:v>HYPERLINK is not implemented. linkLocation=https://busanseagull.com, friendlyName=업체 보기</x:v>
      </x:c>
      <x:c r="K129" s="18" t="str"/>
      <x:c r="L129" s="17" t="str"/>
      <x:c r="M129" s="20" t="n">
        <x:v>46216</x:v>
      </x:c>
      <x:c r="N129" s="21" t="n">
        <x:v>100</x:v>
      </x:c>
      <x:c r="O129" s="21" t="n">
        <x:v>91</x:v>
      </x:c>
      <x:c r="P129" s="21" t="n">
        <x:v>687</x:v>
      </x:c>
      <x:c r="Q129" s="21" t="n">
        <x:v>2</x:v>
      </x:c>
      <x:c r="R129" s="21" t="n">
        <x:v>1</x:v>
      </x:c>
      <x:c r="S129" s="17" t="str">
        <x:v>유성구 고기</x:v>
      </x:c>
      <x:c r="T129" s="22" t="n">
        <x:v>36.3571129</x:v>
      </x:c>
      <x:c r="U129" s="22" t="n">
        <x:v>127.3455053</x:v>
      </x:c>
    </x:row>
    <x:row r="130" ht="32" customHeight="1">
      <x:c r="A130" s="18" t="str">
        <x:v>pending</x:v>
      </x:c>
      <x:c r="B130" s="18" t="str">
        <x:v>유성구</x:v>
      </x:c>
      <x:c r="C130" s="17" t="str">
        <x:v>궁칼국수</x:v>
      </x:c>
      <x:c r="D130" s="17" t="str">
        <x:v>한식&gt;칼국수,만두</x:v>
      </x:c>
      <x:c r="E130" s="19" t="n">
        <x:v>63</x:v>
      </x:c>
      <x:c r="F130" s="17" t="str">
        <x:v>지역성: 칼국수; 최근 12개월 블로그 100건</x:v>
      </x:c>
      <x:c r="G130" s="17" t="str">
        <x:v>대전광역시 유성구 어은동 110-1 2층</x:v>
      </x:c>
      <x:c r="H130" s="17" t="str">
        <x:v>대전광역시 유성구 어은로58번길 10 2층</x:v>
      </x:c>
      <x:c r="I130" s="18" t="e">
        <x:f>HYPERLINK("https://search.naver.com/search.naver?where=blog&amp;query=%EA%B6%81%EC%B9%BC%EA%B5%AD%EC%88%98+%EC%9C%A0%EC%84%B1%EA%B5%AC","블로그 보기")</x:f>
        <x:v>HYPERLINK is not implemented. linkLocation=https://search.naver.com/search.naver?where=blog&amp;query=%EA%B6%81%EC%B9%BC%EA%B5%AD%EC%88%98+%EC%9C%A0%EC%84%B1%EA%B5%AC, friendlyName=블로그 보기</x:v>
      </x:c>
      <x:c r="J130" s="18" t="str"/>
      <x:c r="K130" s="18" t="str"/>
      <x:c r="L130" s="17" t="str"/>
      <x:c r="M130" s="20" t="n">
        <x:v>46220</x:v>
      </x:c>
      <x:c r="N130" s="21" t="n">
        <x:v>100</x:v>
      </x:c>
      <x:c r="O130" s="21" t="n">
        <x:v>66</x:v>
      </x:c>
      <x:c r="P130" s="21" t="n">
        <x:v>325</x:v>
      </x:c>
      <x:c r="Q130" s="21" t="n">
        <x:v>2</x:v>
      </x:c>
      <x:c r="R130" s="21" t="n">
        <x:v>1</x:v>
      </x:c>
      <x:c r="S130" s="17" t="str">
        <x:v>어은동 칼국수</x:v>
      </x:c>
      <x:c r="T130" s="22" t="n">
        <x:v>36.3634662</x:v>
      </x:c>
      <x:c r="U130" s="22" t="n">
        <x:v>127.3570024</x:v>
      </x:c>
    </x:row>
    <x:row r="131" ht="32" customHeight="1">
      <x:c r="A131" s="18" t="str">
        <x:v>pending</x:v>
      </x:c>
      <x:c r="B131" s="18" t="str">
        <x:v>유성구</x:v>
      </x:c>
      <x:c r="C131" s="17" t="str">
        <x:v>동래돼지국밥수육 대전유성본점</x:v>
      </x:c>
      <x:c r="D131" s="17" t="str">
        <x:v>한식&gt;국밥</x:v>
      </x:c>
      <x:c r="E131" s="19" t="n">
        <x:v>63</x:v>
      </x:c>
      <x:c r="F131" s="17" t="str">
        <x:v>지역성: 본점, 대전; 최근 12개월 블로그 100건</x:v>
      </x:c>
      <x:c r="G131" s="17" t="str">
        <x:v>대전광역시 유성구 봉명동 656-6 1층</x:v>
      </x:c>
      <x:c r="H131" s="17" t="str">
        <x:v>대전광역시 유성구 온천북로 45 1층</x:v>
      </x:c>
      <x:c r="I131" s="18" t="e">
        <x:f>HYPERLINK("https://search.naver.com/search.naver?where=blog&amp;query=%EB%8F%99%EB%9E%98%EB%8F%BC%EC%A7%80%EA%B5%AD%EB%B0%A5%EC%88%98%EC%9C%A1+%EB%8C%80%EC%A0%84%EC%9C%A0%EC%84%B1%EB%B3%B8%EC%A0%90+%EC%9C%A0%EC%84%B1%EA%B5%AC","블로그 보기")</x:f>
        <x:v>HYPERLINK is not implemented. linkLocation=https://search.naver.com/search.naver?where=blog&amp;query=%EB%8F%99%EB%9E%98%EB%8F%BC%EC%A7%80%EA%B5%AD%EB%B0%A5%EC%88%98%EC%9C%A1+%EB%8C%80%EC%A0%84%EC%9C%A0%EC%84%B1%EB%B3%B8%EC%A0%90+%EC%9C%A0%EC%84%B1%EA%B5%AC, friendlyName=블로그 보기</x:v>
      </x:c>
      <x:c r="J131" s="18" t="str"/>
      <x:c r="K131" s="18" t="str"/>
      <x:c r="L131" s="17" t="str"/>
      <x:c r="M131" s="20" t="n">
        <x:v>46222</x:v>
      </x:c>
      <x:c r="N131" s="21" t="n">
        <x:v>100</x:v>
      </x:c>
      <x:c r="O131" s="21" t="n">
        <x:v>96</x:v>
      </x:c>
      <x:c r="P131" s="21" t="n">
        <x:v>2033</x:v>
      </x:c>
      <x:c r="Q131" s="21" t="n">
        <x:v>1</x:v>
      </x:c>
      <x:c r="R131" s="21" t="n">
        <x:v>0</x:v>
      </x:c>
      <x:c r="S131" s="17" t="str">
        <x:v>유성구 국밥</x:v>
      </x:c>
      <x:c r="T131" s="22" t="n">
        <x:v>36.3567522</x:v>
      </x:c>
      <x:c r="U131" s="22" t="n">
        <x:v>127.3478994</x:v>
      </x:c>
    </x:row>
    <x:row r="132" ht="32" customHeight="1">
      <x:c r="A132" s="18" t="str">
        <x:v>pending</x:v>
      </x:c>
      <x:c r="B132" s="18" t="str">
        <x:v>유성구</x:v>
      </x:c>
      <x:c r="C132" s="17" t="str">
        <x:v>오모리생바지락손칼국수</x:v>
      </x:c>
      <x:c r="D132" s="17" t="str">
        <x:v>한식&gt;칼국수,만두</x:v>
      </x:c>
      <x:c r="E132" s="19" t="n">
        <x:v>63</x:v>
      </x:c>
      <x:c r="F132" s="17" t="str">
        <x:v>지역성: 칼국수; 최근 12개월 블로그 76건</x:v>
      </x:c>
      <x:c r="G132" s="17" t="str">
        <x:v>대전광역시 유성구 반석동 665-3</x:v>
      </x:c>
      <x:c r="H132" s="17" t="str">
        <x:v>대전광역시 유성구 북유성대로 328</x:v>
      </x:c>
      <x:c r="I132" s="18" t="e">
        <x:f>HYPERLINK("https://search.naver.com/search.naver?where=blog&amp;query=%EC%98%A4%EB%AA%A8%EB%A6%AC%EC%83%9D%EB%B0%94%EC%A7%80%EB%9D%BD%EC%86%90%EC%B9%BC%EA%B5%AD%EC%88%98+%EC%9C%A0%EC%84%B1%EA%B5%AC","블로그 보기")</x:f>
        <x:v>HYPERLINK is not implemented. linkLocation=https://search.naver.com/search.naver?where=blog&amp;query=%EC%98%A4%EB%AA%A8%EB%A6%AC%EC%83%9D%EB%B0%94%EC%A7%80%EB%9D%BD%EC%86%90%EC%B9%BC%EA%B5%AD%EC%88%98+%EC%9C%A0%EC%84%B1%EA%B5%AC, friendlyName=블로그 보기</x:v>
      </x:c>
      <x:c r="J132" s="18" t="str"/>
      <x:c r="K132" s="18" t="str"/>
      <x:c r="L132" s="17" t="str"/>
      <x:c r="M132" s="20" t="n">
        <x:v>46220</x:v>
      </x:c>
      <x:c r="N132" s="21" t="n">
        <x:v>76</x:v>
      </x:c>
      <x:c r="O132" s="21" t="n">
        <x:v>98</x:v>
      </x:c>
      <x:c r="P132" s="21" t="n">
        <x:v>325</x:v>
      </x:c>
      <x:c r="Q132" s="21" t="n">
        <x:v>2</x:v>
      </x:c>
      <x:c r="R132" s="21" t="n">
        <x:v>1</x:v>
      </x:c>
      <x:c r="S132" s="17" t="str">
        <x:v>유성구 두부두루치기</x:v>
      </x:c>
      <x:c r="T132" s="22" t="n">
        <x:v>36.3938697</x:v>
      </x:c>
      <x:c r="U132" s="22" t="n">
        <x:v>127.3140091</x:v>
      </x:c>
    </x:row>
    <x:row r="133" ht="32" customHeight="1">
      <x:c r="A133" s="18" t="str">
        <x:v>pending</x:v>
      </x:c>
      <x:c r="B133" s="18" t="str">
        <x:v>유성구</x:v>
      </x:c>
      <x:c r="C133" s="17" t="str">
        <x:v>안골칼국수</x:v>
      </x:c>
      <x:c r="D133" s="17" t="str">
        <x:v>한식&gt;칼국수,만두</x:v>
      </x:c>
      <x:c r="E133" s="19" t="n">
        <x:v>62</x:v>
      </x:c>
      <x:c r="F133" s="17" t="str">
        <x:v>지역성: 칼국수; 최근 12개월 블로그 15건</x:v>
      </x:c>
      <x:c r="G133" s="17" t="str">
        <x:v>대전광역시 유성구 어은동 111-2 지하1층</x:v>
      </x:c>
      <x:c r="H133" s="17" t="str">
        <x:v>대전광역시 유성구 어은로58번길 16 지하1층</x:v>
      </x:c>
      <x:c r="I133" s="18" t="e">
        <x:f>HYPERLINK("https://search.naver.com/search.naver?where=blog&amp;query=%EC%95%88%EA%B3%A8%EC%B9%BC%EA%B5%AD%EC%88%98+%EC%9C%A0%EC%84%B1%EA%B5%AC","블로그 보기")</x:f>
        <x:v>HYPERLINK is not implemented. linkLocation=https://search.naver.com/search.naver?where=blog&amp;query=%EC%95%88%EA%B3%A8%EC%B9%BC%EA%B5%AD%EC%88%98+%EC%9C%A0%EC%84%B1%EA%B5%AC, friendlyName=블로그 보기</x:v>
      </x:c>
      <x:c r="J133" s="18" t="str"/>
      <x:c r="K133" s="18" t="str"/>
      <x:c r="L133" s="17" t="str"/>
      <x:c r="M133" s="20" t="n">
        <x:v>46133</x:v>
      </x:c>
      <x:c r="N133" s="21" t="n">
        <x:v>15</x:v>
      </x:c>
      <x:c r="O133" s="21" t="n">
        <x:v>82</x:v>
      </x:c>
      <x:c r="P133" s="21" t="n">
        <x:v>142</x:v>
      </x:c>
      <x:c r="Q133" s="21" t="n">
        <x:v>2</x:v>
      </x:c>
      <x:c r="R133" s="21" t="n">
        <x:v>1</x:v>
      </x:c>
      <x:c r="S133" s="17" t="str">
        <x:v>어은동 두부두루치기 | 어은동 칼국수</x:v>
      </x:c>
      <x:c r="T133" s="22" t="n">
        <x:v>36.3636302</x:v>
      </x:c>
      <x:c r="U133" s="22" t="n">
        <x:v>127.3574117</x:v>
      </x:c>
    </x:row>
    <x:row r="134" ht="32" customHeight="1">
      <x:c r="A134" s="18" t="str">
        <x:v>pending</x:v>
      </x:c>
      <x:c r="B134" s="18" t="str">
        <x:v>유성구</x:v>
      </x:c>
      <x:c r="C134" s="17" t="str">
        <x:v>호우섬 대전신세계Art&amp;Science점</x:v>
      </x:c>
      <x:c r="D134" s="17" t="str">
        <x:v>음식점&gt;중식당</x:v>
      </x:c>
      <x:c r="E134" s="19" t="n">
        <x:v>62</x:v>
      </x:c>
      <x:c r="F134" s="17" t="str">
        <x:v>지역성: 대전; 최근 12개월 블로그 100건</x:v>
      </x:c>
      <x:c r="G134" s="17" t="str">
        <x:v>대전광역시 유성구 도룡동 3-1 대전신세계 아트</x:v>
      </x:c>
      <x:c r="H134" s="17" t="str">
        <x:v>대전광역시 유성구 엑스포로 1 대전신세계 아트</x:v>
      </x:c>
      <x:c r="I134" s="18" t="e">
        <x:f>HYPERLINK("https://search.naver.com/search.naver?where=blog&amp;query=%ED%98%B8%EC%9A%B0%EC%84%AC+%EB%8C%80%EC%A0%84%EC%8B%A0%EC%84%B8%EA%B3%84Art%26Science%EC%A0%90+%EC%9C%A0%EC%84%B1%EA%B5%AC","블로그 보기")</x:f>
        <x:v>HYPERLINK is not implemented. linkLocation=https://search.naver.com/search.naver?where=blog&amp;query=%ED%98%B8%EC%9A%B0%EC%84%AC+%EB%8C%80%EC%A0%84%EC%8B%A0%EC%84%B8%EA%B3%84Art%26Science%EC%A0%90+%EC%9C%A0%EC%84%B1%EA%B5%AC, friendlyName=블로그 보기</x:v>
      </x:c>
      <x:c r="J134" s="18" t="e">
        <x:f>HYPERLINK("https://www.instagram.com/haosum_official","업체 보기")</x:f>
        <x:v>HYPERLINK is not implemented. linkLocation=https://www.instagram.com/haosum_official, friendlyName=업체 보기</x:v>
      </x:c>
      <x:c r="K134" s="18" t="str"/>
      <x:c r="L134" s="17" t="str"/>
      <x:c r="M134" s="20" t="n">
        <x:v>46223</x:v>
      </x:c>
      <x:c r="N134" s="21" t="n">
        <x:v>100</x:v>
      </x:c>
      <x:c r="O134" s="21" t="n">
        <x:v>98</x:v>
      </x:c>
      <x:c r="P134" s="21" t="n">
        <x:v>10115</x:v>
      </x:c>
      <x:c r="Q134" s="21" t="n">
        <x:v>1</x:v>
      </x:c>
      <x:c r="R134" s="21" t="n">
        <x:v>1</x:v>
      </x:c>
      <x:c r="S134" s="17" t="str">
        <x:v>유성구 중식</x:v>
      </x:c>
      <x:c r="T134" s="22" t="n">
        <x:v>36.3750281</x:v>
      </x:c>
      <x:c r="U134" s="22" t="n">
        <x:v>127.3822029</x:v>
      </x:c>
    </x:row>
    <x:row r="135" ht="32" customHeight="1">
      <x:c r="A135" s="18" t="str">
        <x:v>pending</x:v>
      </x:c>
      <x:c r="B135" s="18" t="str">
        <x:v>유성구</x:v>
      </x:c>
      <x:c r="C135" s="17" t="str">
        <x:v>익선잡방 대전신세계점</x:v>
      </x:c>
      <x:c r="D135" s="17" t="str">
        <x:v>음식점&gt;브런치</x:v>
      </x:c>
      <x:c r="E135" s="19" t="n">
        <x:v>61</x:v>
      </x:c>
      <x:c r="F135" s="17" t="str">
        <x:v>지역성: 대전; 최근 12개월 블로그 93건</x:v>
      </x:c>
      <x:c r="G135" s="17" t="str">
        <x:v>대전광역시 유성구 도룡동 648 대전신세계백화점 Art&amp;Science 6층 익선잡방</x:v>
      </x:c>
      <x:c r="H135" s="17" t="str">
        <x:v>대전광역시 유성구 엑스포로 1 대전신세계백화점 Art&amp;Science 6층 익선잡방</x:v>
      </x:c>
      <x:c r="I135" s="18" t="e">
        <x:f>HYPERLINK("https://search.naver.com/search.naver?where=blog&amp;query=%EC%9D%B5%EC%84%A0%EC%9E%A1%EB%B0%A9+%EB%8C%80%EC%A0%84%EC%8B%A0%EC%84%B8%EA%B3%84%EC%A0%90+%EC%9C%A0%EC%84%B1%EA%B5%AC","블로그 보기")</x:f>
        <x:v>HYPERLINK is not implemented. linkLocation=https://search.naver.com/search.naver?where=blog&amp;query=%EC%9D%B5%EC%84%A0%EC%9E%A1%EB%B0%A9+%EB%8C%80%EC%A0%84%EC%8B%A0%EC%84%B8%EA%B3%84%EC%A0%90+%EC%9C%A0%EC%84%B1%EA%B5%AC, friendlyName=블로그 보기</x:v>
      </x:c>
      <x:c r="J135" s="18" t="e">
        <x:f>HYPERLINK("https://www.instagram.com/ikseon_jabbang/","업체 보기")</x:f>
        <x:v>HYPERLINK is not implemented. linkLocation=https://www.instagram.com/ikseon_jabbang/, friendlyName=업체 보기</x:v>
      </x:c>
      <x:c r="K135" s="18" t="str"/>
      <x:c r="L135" s="17" t="str"/>
      <x:c r="M135" s="20" t="n">
        <x:v>46223</x:v>
      </x:c>
      <x:c r="N135" s="21" t="n">
        <x:v>93</x:v>
      </x:c>
      <x:c r="O135" s="21" t="n">
        <x:v>93</x:v>
      </x:c>
      <x:c r="P135" s="21" t="n">
        <x:v>1621</x:v>
      </x:c>
      <x:c r="Q135" s="21" t="n">
        <x:v>1</x:v>
      </x:c>
      <x:c r="R135" s="21" t="n">
        <x:v>1</x:v>
      </x:c>
      <x:c r="S135" s="17" t="str">
        <x:v>유성구 맛집</x:v>
      </x:c>
      <x:c r="T135" s="22" t="n">
        <x:v>36.3749137</x:v>
      </x:c>
      <x:c r="U135" s="22" t="n">
        <x:v>127.3814078</x:v>
      </x:c>
    </x:row>
    <x:row r="136" ht="32" customHeight="1">
      <x:c r="A136" s="18" t="str">
        <x:v>pending</x:v>
      </x:c>
      <x:c r="B136" s="18" t="str">
        <x:v>유성구</x:v>
      </x:c>
      <x:c r="C136" s="17" t="str">
        <x:v>이비가짬뽕 유성본점</x:v>
      </x:c>
      <x:c r="D136" s="17" t="str">
        <x:v>음식점&gt;중식당</x:v>
      </x:c>
      <x:c r="E136" s="19" t="n">
        <x:v>60</x:v>
      </x:c>
      <x:c r="F136" s="17" t="str">
        <x:v>지역성: 본점; 최근 12개월 블로그 100건</x:v>
      </x:c>
      <x:c r="G136" s="17" t="str">
        <x:v>대전광역시 유성구 궁동 462-12</x:v>
      </x:c>
      <x:c r="H136" s="17" t="str">
        <x:v>대전광역시 유성구 문화원로 39</x:v>
      </x:c>
      <x:c r="I136" s="18" t="e">
        <x:f>HYPERLINK("https://search.naver.com/search.naver?where=blog&amp;query=%EC%9D%B4%EB%B9%84%EA%B0%80%EC%A7%AC%EB%BD%95+%EC%9C%A0%EC%84%B1%EB%B3%B8%EC%A0%90+%EC%9C%A0%EC%84%B1%EA%B5%AC","블로그 보기")</x:f>
        <x:v>HYPERLINK is not implemented. linkLocation=https://search.naver.com/search.naver?where=blog&amp;query=%EC%9D%B4%EB%B9%84%EA%B0%80%EC%A7%AC%EB%BD%95+%EC%9C%A0%EC%84%B1%EB%B3%B8%EC%A0%90+%EC%9C%A0%EC%84%B1%EA%B5%AC, friendlyName=블로그 보기</x:v>
      </x:c>
      <x:c r="J136" s="18" t="e">
        <x:f>HYPERLINK("http://www.ebiga.co.kr/","업체 보기")</x:f>
        <x:v>HYPERLINK is not implemented. linkLocation=http://www.ebiga.co.kr/, friendlyName=업체 보기</x:v>
      </x:c>
      <x:c r="K136" s="18" t="str"/>
      <x:c r="L136" s="17" t="str"/>
      <x:c r="M136" s="20" t="n">
        <x:v>46221</x:v>
      </x:c>
      <x:c r="N136" s="21" t="n">
        <x:v>100</x:v>
      </x:c>
      <x:c r="O136" s="21" t="n">
        <x:v>98</x:v>
      </x:c>
      <x:c r="P136" s="21" t="n">
        <x:v>783</x:v>
      </x:c>
      <x:c r="Q136" s="21" t="n">
        <x:v>1</x:v>
      </x:c>
      <x:c r="R136" s="21" t="n">
        <x:v>1</x:v>
      </x:c>
      <x:c r="S136" s="17" t="str">
        <x:v>유성구 중식</x:v>
      </x:c>
      <x:c r="T136" s="22" t="n">
        <x:v>36.3604662</x:v>
      </x:c>
      <x:c r="U136" s="22" t="n">
        <x:v>127.3404875</x:v>
      </x:c>
    </x:row>
    <x:row r="137" ht="32" customHeight="1">
      <x:c r="A137" s="18" t="str">
        <x:v>pending</x:v>
      </x:c>
      <x:c r="B137" s="18" t="str">
        <x:v>유성구</x:v>
      </x:c>
      <x:c r="C137" s="17" t="str">
        <x:v>임도현의 목포횟집</x:v>
      </x:c>
      <x:c r="D137" s="17" t="str">
        <x:v>한식&gt;생선회</x:v>
      </x:c>
      <x:c r="E137" s="19" t="n">
        <x:v>60</x:v>
      </x:c>
      <x:c r="F137" s="17" t="str">
        <x:v>최근 12개월 블로그 16건</x:v>
      </x:c>
      <x:c r="G137" s="17" t="str">
        <x:v>대전광역시 유성구 어은동 100-11 1층</x:v>
      </x:c>
      <x:c r="H137" s="17" t="str">
        <x:v>대전광역시 유성구 어은로51번길 56 1층</x:v>
      </x:c>
      <x:c r="I137" s="18" t="e">
        <x:f>HYPERLINK("https://search.naver.com/search.naver?where=blog&amp;query=%EC%9E%84%EB%8F%84%ED%98%84%EC%9D%98+%EB%AA%A9%ED%8F%AC%ED%9A%9F%EC%A7%91+%EC%9C%A0%EC%84%B1%EA%B5%AC","블로그 보기")</x:f>
        <x:v>HYPERLINK is not implemented. linkLocation=https://search.naver.com/search.naver?where=blog&amp;query=%EC%9E%84%EB%8F%84%ED%98%84%EC%9D%98+%EB%AA%A9%ED%8F%AC%ED%9A%9F%EC%A7%91+%EC%9C%A0%EC%84%B1%EA%B5%AC, friendlyName=블로그 보기</x:v>
      </x:c>
      <x:c r="J137" s="18" t="str"/>
      <x:c r="K137" s="18" t="str"/>
      <x:c r="L137" s="17" t="str"/>
      <x:c r="M137" s="20" t="n">
        <x:v>46208</x:v>
      </x:c>
      <x:c r="N137" s="21" t="n">
        <x:v>16</x:v>
      </x:c>
      <x:c r="O137" s="21" t="n">
        <x:v>65</x:v>
      </x:c>
      <x:c r="P137" s="21" t="n">
        <x:v>71</x:v>
      </x:c>
      <x:c r="Q137" s="21" t="n">
        <x:v>3</x:v>
      </x:c>
      <x:c r="R137" s="21" t="n">
        <x:v>1</x:v>
      </x:c>
      <x:c r="S137" s="17" t="str">
        <x:v>어은동 한식 | 어은동 해산물</x:v>
      </x:c>
      <x:c r="T137" s="22" t="n">
        <x:v>36.3618929</x:v>
      </x:c>
      <x:c r="U137" s="22" t="n">
        <x:v>127.353859</x:v>
      </x:c>
    </x:row>
    <x:row r="138" ht="32" customHeight="1">
      <x:c r="A138" s="18" t="str">
        <x:v>pending</x:v>
      </x:c>
      <x:c r="B138" s="18" t="str">
        <x:v>유성구</x:v>
      </x:c>
      <x:c r="C138" s="17" t="str">
        <x:v>감쪽 대전봉명점</x:v>
      </x:c>
      <x:c r="D138" s="17" t="str">
        <x:v>한식&gt;육류,고기요리</x:v>
      </x:c>
      <x:c r="E138" s="19" t="n">
        <x:v>59</x:v>
      </x:c>
      <x:c r="F138" s="17" t="str">
        <x:v>지역성: 대전; 최근 12개월 블로그 100건</x:v>
      </x:c>
      <x:c r="G138" s="17" t="str">
        <x:v>대전광역시 유성구 봉명동 628-2 지상1층</x:v>
      </x:c>
      <x:c r="H138" s="17" t="str">
        <x:v>대전광역시 유성구 온천북로 19 지상1층</x:v>
      </x:c>
      <x:c r="I138" s="18" t="e">
        <x:f>HYPERLINK("https://search.naver.com/search.naver?where=blog&amp;query=%EA%B0%90%EC%AA%BD+%EB%8C%80%EC%A0%84%EB%B4%89%EB%AA%85%EC%A0%90+%EC%9C%A0%EC%84%B1%EA%B5%AC","블로그 보기")</x:f>
        <x:v>HYPERLINK is not implemented. linkLocation=https://search.naver.com/search.naver?where=blog&amp;query=%EA%B0%90%EC%AA%BD+%EB%8C%80%EC%A0%84%EB%B4%89%EB%AA%85%EC%A0%90+%EC%9C%A0%EC%84%B1%EA%B5%AC, friendlyName=블로그 보기</x:v>
      </x:c>
      <x:c r="J138" s="18" t="e">
        <x:f>HYPERLINK("https://www.instagram.com/gamjjok_daejeon/","업체 보기")</x:f>
        <x:v>HYPERLINK is not implemented. linkLocation=https://www.instagram.com/gamjjok_daejeon/, friendlyName=업체 보기</x:v>
      </x:c>
      <x:c r="K138" s="18" t="str"/>
      <x:c r="L138" s="17" t="str"/>
      <x:c r="M138" s="20" t="n">
        <x:v>46223</x:v>
      </x:c>
      <x:c r="N138" s="21" t="n">
        <x:v>100</x:v>
      </x:c>
      <x:c r="O138" s="21" t="n">
        <x:v>100</x:v>
      </x:c>
      <x:c r="P138" s="21" t="n">
        <x:v>163</x:v>
      </x:c>
      <x:c r="Q138" s="21" t="n">
        <x:v>2</x:v>
      </x:c>
      <x:c r="R138" s="21" t="n">
        <x:v>0</x:v>
      </x:c>
      <x:c r="S138" s="17" t="str">
        <x:v>유성구 맛집 | 유성구 한식</x:v>
      </x:c>
      <x:c r="T138" s="22" t="n">
        <x:v>36.3572311</x:v>
      </x:c>
      <x:c r="U138" s="22" t="n">
        <x:v>127.3451554</x:v>
      </x:c>
    </x:row>
    <x:row r="139" ht="32" customHeight="1">
      <x:c r="A139" s="18" t="str">
        <x:v>pending</x:v>
      </x:c>
      <x:c r="B139" s="18" t="str">
        <x:v>유성구</x:v>
      </x:c>
      <x:c r="C139" s="17" t="str">
        <x:v>공주쌍신집칼국수 방동직영점</x:v>
      </x:c>
      <x:c r="D139" s="17" t="str">
        <x:v>한식&gt;국수</x:v>
      </x:c>
      <x:c r="E139" s="19" t="n">
        <x:v>59</x:v>
      </x:c>
      <x:c r="F139" s="17" t="str">
        <x:v>지역성: 칼국수; 최근 12개월 블로그 100건</x:v>
      </x:c>
      <x:c r="G139" s="17" t="str">
        <x:v>대전광역시 유성구 방동 172 지상 1, 2층</x:v>
      </x:c>
      <x:c r="H139" s="17" t="str">
        <x:v>대전광역시 유성구 성북로 66-12 지상 1, 2층</x:v>
      </x:c>
      <x:c r="I139" s="18" t="e">
        <x:f>HYPERLINK("https://search.naver.com/search.naver?where=blog&amp;query=%EA%B3%B5%EC%A3%BC%EC%8C%8D%EC%8B%A0%EC%A7%91%EC%B9%BC%EA%B5%AD%EC%88%98+%EB%B0%A9%EB%8F%99%EC%A7%81%EC%98%81%EC%A0%90+%EC%9C%A0%EC%84%B1%EA%B5%AC","블로그 보기")</x:f>
        <x:v>HYPERLINK is not implemented. linkLocation=https://search.naver.com/search.naver?where=blog&amp;query=%EA%B3%B5%EC%A3%BC%EC%8C%8D%EC%8B%A0%EC%A7%91%EC%B9%BC%EA%B5%AD%EC%88%98+%EB%B0%A9%EB%8F%99%EC%A7%81%EC%98%81%EC%A0%90+%EC%9C%A0%EC%84%B1%EA%B5%AC, friendlyName=블로그 보기</x:v>
      </x:c>
      <x:c r="J139" s="18" t="e">
        <x:f>HYPERLINK("https://app.catchtable.co.kr/ct/shop/gongju_ssangsinjip_kalguksu_bangdong?from=share&amp;type=WAITING","업체 보기")</x:f>
        <x:v>HYPERLINK is not implemented. linkLocation=https://app.catchtable.co.kr/ct/shop/gongju_ssangsinjip_kalguksu_bangdong?from=share&amp;type=WAITING, friendlyName=업체 보기</x:v>
      </x:c>
      <x:c r="K139" s="18" t="str"/>
      <x:c r="L139" s="17" t="str"/>
      <x:c r="M139" s="20" t="n">
        <x:v>46220</x:v>
      </x:c>
      <x:c r="N139" s="21" t="n">
        <x:v>100</x:v>
      </x:c>
      <x:c r="O139" s="21" t="n">
        <x:v>59</x:v>
      </x:c>
      <x:c r="P139" s="21" t="n">
        <x:v>315</x:v>
      </x:c>
      <x:c r="Q139" s="21" t="n">
        <x:v>1</x:v>
      </x:c>
      <x:c r="R139" s="21" t="n">
        <x:v>1</x:v>
      </x:c>
      <x:c r="S139" s="17" t="str">
        <x:v>유성구 칼국수</x:v>
      </x:c>
      <x:c r="T139" s="22" t="n">
        <x:v>36.2886486</x:v>
      </x:c>
      <x:c r="U139" s="22" t="n">
        <x:v>127.3065617</x:v>
      </x:c>
    </x:row>
    <x:row r="140" ht="32" customHeight="1">
      <x:c r="A140" s="18" t="str">
        <x:v>pending</x:v>
      </x:c>
      <x:c r="B140" s="18" t="str">
        <x:v>유성구</x:v>
      </x:c>
      <x:c r="C140" s="17" t="str">
        <x:v>다르다김밥 대전신세계점</x:v>
      </x:c>
      <x:c r="D140" s="17" t="str">
        <x:v>음식점&gt;분식</x:v>
      </x:c>
      <x:c r="E140" s="19" t="n">
        <x:v>59</x:v>
      </x:c>
      <x:c r="F140" s="17" t="str">
        <x:v>지역성: 대전; 최근 12개월 블로그 100건</x:v>
      </x:c>
      <x:c r="G140" s="17" t="str">
        <x:v>대전광역시 유성구 도룡동 648 A50호</x:v>
      </x:c>
      <x:c r="H140" s="17" t="str">
        <x:v>대전광역시 유성구 엑스포로 1 A50호</x:v>
      </x:c>
      <x:c r="I140" s="18" t="e">
        <x:f>HYPERLINK("https://search.naver.com/search.naver?where=blog&amp;query=%EB%8B%A4%EB%A5%B4%EB%8B%A4%EA%B9%80%EB%B0%A5+%EB%8C%80%EC%A0%84%EC%8B%A0%EC%84%B8%EA%B3%84%EC%A0%90+%EC%9C%A0%EC%84%B1%EA%B5%AC","블로그 보기")</x:f>
        <x:v>HYPERLINK is not implemented. linkLocation=https://search.naver.com/search.naver?where=blog&amp;query=%EB%8B%A4%EB%A5%B4%EB%8B%A4%EA%B9%80%EB%B0%A5+%EB%8C%80%EC%A0%84%EC%8B%A0%EC%84%B8%EA%B3%84%EC%A0%90+%EC%9C%A0%EC%84%B1%EA%B5%AC, friendlyName=블로그 보기</x:v>
      </x:c>
      <x:c r="J140" s="18" t="e">
        <x:f>HYPERLINK("https://www.instagram.com/darda.gram","업체 보기")</x:f>
        <x:v>HYPERLINK is not implemented. linkLocation=https://www.instagram.com/darda.gram, friendlyName=업체 보기</x:v>
      </x:c>
      <x:c r="K140" s="18" t="str"/>
      <x:c r="L140" s="17" t="str"/>
      <x:c r="M140" s="20" t="n">
        <x:v>46223</x:v>
      </x:c>
      <x:c r="N140" s="21" t="n">
        <x:v>100</x:v>
      </x:c>
      <x:c r="O140" s="21" t="n">
        <x:v>98</x:v>
      </x:c>
      <x:c r="P140" s="21" t="n">
        <x:v>403</x:v>
      </x:c>
      <x:c r="Q140" s="21" t="n">
        <x:v>1</x:v>
      </x:c>
      <x:c r="R140" s="21" t="n">
        <x:v>1</x:v>
      </x:c>
      <x:c r="S140" s="17" t="str">
        <x:v>유성구 분식</x:v>
      </x:c>
      <x:c r="T140" s="22" t="n">
        <x:v>36.3749704</x:v>
      </x:c>
      <x:c r="U140" s="22" t="n">
        <x:v>127.3812766</x:v>
      </x:c>
    </x:row>
    <x:row r="141" ht="32" customHeight="1">
      <x:c r="A141" s="18" t="str">
        <x:v>pending</x:v>
      </x:c>
      <x:c r="B141" s="18" t="str">
        <x:v>유성구</x:v>
      </x:c>
      <x:c r="C141" s="17" t="str">
        <x:v>대감막창갈매기 전민본점</x:v>
      </x:c>
      <x:c r="D141" s="17" t="str">
        <x:v>한식&gt;곱창,막창,양</x:v>
      </x:c>
      <x:c r="E141" s="19" t="n">
        <x:v>59</x:v>
      </x:c>
      <x:c r="F141" s="17" t="str">
        <x:v>지역성: 본점; 최근 12개월 블로그 100건</x:v>
      </x:c>
      <x:c r="G141" s="17" t="str">
        <x:v>대전광역시 유성구 전민동 336-2 1층</x:v>
      </x:c>
      <x:c r="H141" s="17" t="str">
        <x:v>대전광역시 유성구 전민로70번길 48 1층</x:v>
      </x:c>
      <x:c r="I141" s="18" t="e">
        <x:f>HYPERLINK("https://search.naver.com/search.naver?where=blog&amp;query=%EB%8C%80%EA%B0%90%EB%A7%89%EC%B0%BD%EA%B0%88%EB%A7%A4%EA%B8%B0+%EC%A0%84%EB%AF%BC%EB%B3%B8%EC%A0%90+%EC%9C%A0%EC%84%B1%EA%B5%AC","블로그 보기")</x:f>
        <x:v>HYPERLINK is not implemented. linkLocation=https://search.naver.com/search.naver?where=blog&amp;query=%EB%8C%80%EA%B0%90%EB%A7%89%EC%B0%BD%EA%B0%88%EB%A7%A4%EA%B8%B0+%EC%A0%84%EB%AF%BC%EB%B3%B8%EC%A0%90+%EC%9C%A0%EC%84%B1%EA%B5%AC, friendlyName=블로그 보기</x:v>
      </x:c>
      <x:c r="J141" s="18" t="e">
        <x:f>HYPERLINK("https://www.instagram.com/daegam_daejeon/profilecard/?igsh=dGdrM3NqZzhwdjVx","업체 보기")</x:f>
        <x:v>HYPERLINK is not implemented. linkLocation=https://www.instagram.com/daegam_daejeon/profilecard/?igsh=dGdrM3NqZzhwdjVx, friendlyName=업체 보기</x:v>
      </x:c>
      <x:c r="K141" s="18" t="str"/>
      <x:c r="L141" s="17" t="str"/>
      <x:c r="M141" s="20" t="n">
        <x:v>46218</x:v>
      </x:c>
      <x:c r="N141" s="21" t="n">
        <x:v>100</x:v>
      </x:c>
      <x:c r="O141" s="21" t="n">
        <x:v>93</x:v>
      </x:c>
      <x:c r="P141" s="21" t="n">
        <x:v>236</x:v>
      </x:c>
      <x:c r="Q141" s="21" t="n">
        <x:v>1</x:v>
      </x:c>
      <x:c r="R141" s="21" t="n">
        <x:v>1</x:v>
      </x:c>
      <x:c r="S141" s="17" t="str">
        <x:v>유성구 노포</x:v>
      </x:c>
      <x:c r="T141" s="22" t="n">
        <x:v>36.3988257</x:v>
      </x:c>
      <x:c r="U141" s="22" t="n">
        <x:v>127.40297</x:v>
      </x:c>
    </x:row>
    <x:row r="142" ht="32" customHeight="1">
      <x:c r="A142" s="18" t="str">
        <x:v>pending</x:v>
      </x:c>
      <x:c r="B142" s="18" t="str">
        <x:v>유성구</x:v>
      </x:c>
      <x:c r="C142" s="17" t="str">
        <x:v>마시내 본점</x:v>
      </x:c>
      <x:c r="D142" s="17" t="str">
        <x:v>음식점&gt;중식당</x:v>
      </x:c>
      <x:c r="E142" s="19" t="n">
        <x:v>59</x:v>
      </x:c>
      <x:c r="F142" s="17" t="str">
        <x:v>지역성: 본점; 최근 12개월 블로그 100건</x:v>
      </x:c>
      <x:c r="G142" s="17" t="str">
        <x:v>대전광역시 유성구 장대동 355-15 1층 마시내</x:v>
      </x:c>
      <x:c r="H142" s="17" t="str">
        <x:v>대전광역시 유성구 문화원로14번길 14 1층 마시내</x:v>
      </x:c>
      <x:c r="I142" s="18" t="e">
        <x:f>HYPERLINK("https://search.naver.com/search.naver?where=blog&amp;query=%EB%A7%88%EC%8B%9C%EB%82%B4+%EB%B3%B8%EC%A0%90+%EC%9C%A0%EC%84%B1%EA%B5%AC","블로그 보기")</x:f>
        <x:v>HYPERLINK is not implemented. linkLocation=https://search.naver.com/search.naver?where=blog&amp;query=%EB%A7%88%EC%8B%9C%EB%82%B4+%EB%B3%B8%EC%A0%90+%EC%9C%A0%EC%84%B1%EA%B5%AC, friendlyName=블로그 보기</x:v>
      </x:c>
      <x:c r="J142" s="18" t="e">
        <x:f>HYPERLINK("https://www.instagram.com/masinae1_1996","업체 보기")</x:f>
        <x:v>HYPERLINK is not implemented. linkLocation=https://www.instagram.com/masinae1_1996, friendlyName=업체 보기</x:v>
      </x:c>
      <x:c r="K142" s="18" t="str"/>
      <x:c r="L142" s="17" t="str"/>
      <x:c r="M142" s="20" t="n">
        <x:v>46219</x:v>
      </x:c>
      <x:c r="N142" s="21" t="n">
        <x:v>100</x:v>
      </x:c>
      <x:c r="O142" s="21" t="n">
        <x:v>96</x:v>
      </x:c>
      <x:c r="P142" s="21" t="n">
        <x:v>391</x:v>
      </x:c>
      <x:c r="Q142" s="21" t="n">
        <x:v>1</x:v>
      </x:c>
      <x:c r="R142" s="21" t="n">
        <x:v>1</x:v>
      </x:c>
      <x:c r="S142" s="17" t="str">
        <x:v>유성구 중식</x:v>
      </x:c>
      <x:c r="T142" s="22" t="n">
        <x:v>36.3608837</x:v>
      </x:c>
      <x:c r="U142" s="22" t="n">
        <x:v>127.3375196</x:v>
      </x:c>
    </x:row>
    <x:row r="143" ht="32" customHeight="1">
      <x:c r="A143" s="18" t="str">
        <x:v>pending</x:v>
      </x:c>
      <x:c r="B143" s="18" t="str">
        <x:v>유성구</x:v>
      </x:c>
      <x:c r="C143" s="17" t="str">
        <x:v>손의손 대전봉명점</x:v>
      </x:c>
      <x:c r="D143" s="17" t="str">
        <x:v>해물,생선요리&gt;주꾸미요리</x:v>
      </x:c>
      <x:c r="E143" s="19" t="n">
        <x:v>59</x:v>
      </x:c>
      <x:c r="F143" s="17" t="str">
        <x:v>지역성: 대전; 최근 12개월 블로그 100건</x:v>
      </x:c>
      <x:c r="G143" s="17" t="str">
        <x:v>대전광역시 유성구 봉명동 554-5 1층</x:v>
      </x:c>
      <x:c r="H143" s="17" t="str">
        <x:v>대전광역시 유성구 도안대로 585 1층</x:v>
      </x:c>
      <x:c r="I143" s="18" t="e">
        <x:f>HYPERLINK("https://search.naver.com/search.naver?where=blog&amp;query=%EC%86%90%EC%9D%98%EC%86%90+%EB%8C%80%EC%A0%84%EB%B4%89%EB%AA%85%EC%A0%90+%EC%9C%A0%EC%84%B1%EA%B5%AC","블로그 보기")</x:f>
        <x:v>HYPERLINK is not implemented. linkLocation=https://search.naver.com/search.naver?where=blog&amp;query=%EC%86%90%EC%9D%98%EC%86%90+%EB%8C%80%EC%A0%84%EB%B4%89%EB%AA%85%EC%A0%90+%EC%9C%A0%EC%84%B1%EA%B5%AC, friendlyName=블로그 보기</x:v>
      </x:c>
      <x:c r="J143" s="18" t="e">
        <x:f>HYPERLINK("http://손의손.com/","업체 보기")</x:f>
        <x:v>HYPERLINK is not implemented. linkLocation=http://손의손.com/, friendlyName=업체 보기</x:v>
      </x:c>
      <x:c r="K143" s="18" t="str"/>
      <x:c r="L143" s="17" t="str"/>
      <x:c r="M143" s="20" t="n">
        <x:v>46222</x:v>
      </x:c>
      <x:c r="N143" s="21" t="n">
        <x:v>100</x:v>
      </x:c>
      <x:c r="O143" s="21" t="n">
        <x:v>89</x:v>
      </x:c>
      <x:c r="P143" s="21" t="n">
        <x:v>288</x:v>
      </x:c>
      <x:c r="Q143" s="21" t="n">
        <x:v>1</x:v>
      </x:c>
      <x:c r="R143" s="21" t="n">
        <x:v>1</x:v>
      </x:c>
      <x:c r="S143" s="17" t="str">
        <x:v>유성구 해산물</x:v>
      </x:c>
      <x:c r="T143" s="22" t="n">
        <x:v>36.3526081</x:v>
      </x:c>
      <x:c r="U143" s="22" t="n">
        <x:v>127.3404446</x:v>
      </x:c>
    </x:row>
    <x:row r="144" ht="32" customHeight="1">
      <x:c r="A144" s="18" t="str">
        <x:v>pending</x:v>
      </x:c>
      <x:c r="B144" s="18" t="str">
        <x:v>유성구</x:v>
      </x:c>
      <x:c r="C144" s="17" t="str">
        <x:v>천리집</x:v>
      </x:c>
      <x:c r="D144" s="17" t="str">
        <x:v>한식&gt;순대,순댓국</x:v>
      </x:c>
      <x:c r="E144" s="19" t="n">
        <x:v>59</x:v>
      </x:c>
      <x:c r="F144" s="17" t="str">
        <x:v>최근 12개월 블로그 100건</x:v>
      </x:c>
      <x:c r="G144" s="17" t="str">
        <x:v>대전광역시 유성구 신성동 125-3</x:v>
      </x:c>
      <x:c r="H144" s="17" t="str">
        <x:v>대전광역시 유성구 신성남로 127</x:v>
      </x:c>
      <x:c r="I144" s="18" t="e">
        <x:f>HYPERLINK("https://search.naver.com/search.naver?where=blog&amp;query=%EC%B2%9C%EB%A6%AC%EC%A7%91+%EC%9C%A0%EC%84%B1%EA%B5%AC","블로그 보기")</x:f>
        <x:v>HYPERLINK is not implemented. linkLocation=https://search.naver.com/search.naver?where=blog&amp;query=%EC%B2%9C%EB%A6%AC%EC%A7%91+%EC%9C%A0%EC%84%B1%EA%B5%AC, friendlyName=블로그 보기</x:v>
      </x:c>
      <x:c r="J144" s="18" t="str"/>
      <x:c r="K144" s="18" t="str"/>
      <x:c r="L144" s="17" t="str"/>
      <x:c r="M144" s="20" t="n">
        <x:v>46222</x:v>
      </x:c>
      <x:c r="N144" s="21" t="n">
        <x:v>100</x:v>
      </x:c>
      <x:c r="O144" s="21" t="n">
        <x:v>98</x:v>
      </x:c>
      <x:c r="P144" s="21" t="n">
        <x:v>761</x:v>
      </x:c>
      <x:c r="Q144" s="21" t="n">
        <x:v>2</x:v>
      </x:c>
      <x:c r="R144" s="21" t="n">
        <x:v>1</x:v>
      </x:c>
      <x:c r="S144" s="17" t="str">
        <x:v>유성구 국밥</x:v>
      </x:c>
      <x:c r="T144" s="22" t="n">
        <x:v>36.3918393</x:v>
      </x:c>
      <x:c r="U144" s="22" t="n">
        <x:v>127.3512146</x:v>
      </x:c>
    </x:row>
    <x:row r="145" ht="32" customHeight="1">
      <x:c r="A145" s="18" t="str">
        <x:v>pending</x:v>
      </x:c>
      <x:c r="B145" s="18" t="str">
        <x:v>유성구</x:v>
      </x:c>
      <x:c r="C145" s="17" t="str">
        <x:v>1987 신샤브</x:v>
      </x:c>
      <x:c r="D145" s="17" t="str">
        <x:v>음식점&gt;일식&gt;샤브샤브</x:v>
      </x:c>
      <x:c r="E145" s="19" t="n">
        <x:v>58</x:v>
      </x:c>
      <x:c r="F145" s="17" t="str">
        <x:v>최근 12개월 블로그 42건</x:v>
      </x:c>
      <x:c r="G145" s="17" t="str">
        <x:v>대전광역시 유성구 어은동 115-7 1층</x:v>
      </x:c>
      <x:c r="H145" s="17" t="str">
        <x:v>대전광역시 유성구 어은로48번길 6 1층</x:v>
      </x:c>
      <x:c r="I145" s="18" t="e">
        <x:f>HYPERLINK("https://search.naver.com/search.naver?where=blog&amp;query=1987+%EC%8B%A0%EC%83%A4%EB%B8%8C+%EC%9C%A0%EC%84%B1%EA%B5%AC","블로그 보기")</x:f>
        <x:v>HYPERLINK is not implemented. linkLocation=https://search.naver.com/search.naver?where=blog&amp;query=1987+%EC%8B%A0%EC%83%A4%EB%B8%8C+%EC%9C%A0%EC%84%B1%EA%B5%AC, friendlyName=블로그 보기</x:v>
      </x:c>
      <x:c r="J145" s="18" t="e">
        <x:f>HYPERLINK("https://kbs대호왔대호2024.3.2방영","업체 보기")</x:f>
        <x:v>HYPERLINK is not implemented. linkLocation=https://kbs대호왔대호2024.3.2방영, friendlyName=업체 보기</x:v>
      </x:c>
      <x:c r="K145" s="18" t="str"/>
      <x:c r="L145" s="17" t="str"/>
      <x:c r="M145" s="20" t="n">
        <x:v>46189</x:v>
      </x:c>
      <x:c r="N145" s="21" t="n">
        <x:v>42</x:v>
      </x:c>
      <x:c r="O145" s="21" t="n">
        <x:v>100</x:v>
      </x:c>
      <x:c r="P145" s="21" t="n">
        <x:v>239</x:v>
      </x:c>
      <x:c r="Q145" s="21" t="n">
        <x:v>2</x:v>
      </x:c>
      <x:c r="R145" s="21" t="n">
        <x:v>1</x:v>
      </x:c>
      <x:c r="S145" s="17" t="str">
        <x:v>어은동 칼국수</x:v>
      </x:c>
      <x:c r="T145" s="22" t="n">
        <x:v>36.3627674</x:v>
      </x:c>
      <x:c r="U145" s="22" t="n">
        <x:v>127.3576048</x:v>
      </x:c>
    </x:row>
    <x:row r="146" ht="32" customHeight="1">
      <x:c r="A146" s="18" t="str">
        <x:v>pending</x:v>
      </x:c>
      <x:c r="B146" s="18" t="str">
        <x:v>유성구</x:v>
      </x:c>
      <x:c r="C146" s="17" t="str">
        <x:v>노은칼국수</x:v>
      </x:c>
      <x:c r="D146" s="17" t="str">
        <x:v>한식&gt;칼국수,만두</x:v>
      </x:c>
      <x:c r="E146" s="19" t="n">
        <x:v>58</x:v>
      </x:c>
      <x:c r="F146" s="17" t="str">
        <x:v>지역성: 칼국수; 최근 12개월 블로그 100건</x:v>
      </x:c>
      <x:c r="G146" s="17" t="str">
        <x:v>대전광역시 유성구 지족동 910-23</x:v>
      </x:c>
      <x:c r="H146" s="17" t="str">
        <x:v>대전광역시 유성구 은구비로 44</x:v>
      </x:c>
      <x:c r="I146" s="18" t="e">
        <x:f>HYPERLINK("https://search.naver.com/search.naver?where=blog&amp;query=%EB%85%B8%EC%9D%80%EC%B9%BC%EA%B5%AD%EC%88%98+%EC%9C%A0%EC%84%B1%EA%B5%AC","블로그 보기")</x:f>
        <x:v>HYPERLINK is not implemented. linkLocation=https://search.naver.com/search.naver?where=blog&amp;query=%EB%85%B8%EC%9D%80%EC%B9%BC%EA%B5%AD%EC%88%98+%EC%9C%A0%EC%84%B1%EA%B5%AC, friendlyName=블로그 보기</x:v>
      </x:c>
      <x:c r="J146" s="18" t="str"/>
      <x:c r="K146" s="18" t="str"/>
      <x:c r="L146" s="17" t="str"/>
      <x:c r="M146" s="20" t="n">
        <x:v>46223</x:v>
      </x:c>
      <x:c r="N146" s="21" t="n">
        <x:v>100</x:v>
      </x:c>
      <x:c r="O146" s="21" t="n">
        <x:v>92</x:v>
      </x:c>
      <x:c r="P146" s="21" t="n">
        <x:v>2055</x:v>
      </x:c>
      <x:c r="Q146" s="21" t="n">
        <x:v>1</x:v>
      </x:c>
      <x:c r="R146" s="21" t="n">
        <x:v>0</x:v>
      </x:c>
      <x:c r="S146" s="17" t="str">
        <x:v>유성구 두부두루치기</x:v>
      </x:c>
      <x:c r="T146" s="22" t="n">
        <x:v>36.37577</x:v>
      </x:c>
      <x:c r="U146" s="22" t="n">
        <x:v>127.319785</x:v>
      </x:c>
    </x:row>
    <x:row r="147" ht="32" customHeight="1">
      <x:c r="A147" s="18" t="str">
        <x:v>pending</x:v>
      </x:c>
      <x:c r="B147" s="18" t="str">
        <x:v>유성구</x:v>
      </x:c>
      <x:c r="C147" s="17" t="str">
        <x:v>속풀이부추칼국수황제보쌈유성점</x:v>
      </x:c>
      <x:c r="D147" s="17" t="str">
        <x:v>한식&gt;칼국수,만두</x:v>
      </x:c>
      <x:c r="E147" s="19" t="n">
        <x:v>58</x:v>
      </x:c>
      <x:c r="F147" s="17" t="str">
        <x:v>지역성: 칼국수; 최근 12개월 블로그 100건</x:v>
      </x:c>
      <x:c r="G147" s="17" t="str">
        <x:v>대전광역시 유성구 봉명동 557-1</x:v>
      </x:c>
      <x:c r="H147" s="17" t="str">
        <x:v>대전광역시 유성구 도안대로567번길 31</x:v>
      </x:c>
      <x:c r="I147" s="18" t="e">
        <x:f>HYPERLINK("https://search.naver.com/search.naver?where=blog&amp;query=%EC%86%8D%ED%92%80%EC%9D%B4%EB%B6%80%EC%B6%94%EC%B9%BC%EA%B5%AD%EC%88%98%ED%99%A9%EC%A0%9C%EB%B3%B4%EC%8C%88%EC%9C%A0%EC%84%B1%EC%A0%90+%EC%9C%A0%EC%84%B1%EA%B5%AC","블로그 보기")</x:f>
        <x:v>HYPERLINK is not implemented. linkLocation=https://search.naver.com/search.naver?where=blog&amp;query=%EC%86%8D%ED%92%80%EC%9D%B4%EB%B6%80%EC%B6%94%EC%B9%BC%EA%B5%AD%EC%88%98%ED%99%A9%EC%A0%9C%EB%B3%B4%EC%8C%88%EC%9C%A0%EC%84%B1%EC%A0%90+%EC%9C%A0%EC%84%B1%EA%B5%AC, friendlyName=블로그 보기</x:v>
      </x:c>
      <x:c r="J147" s="18" t="e">
        <x:f>HYPERLINK("http://010-2212-6680.ezbuilder.co.kr","업체 보기")</x:f>
        <x:v>HYPERLINK is not implemented. linkLocation=http://010-2212-6680.ezbuilder.co.kr, friendlyName=업체 보기</x:v>
      </x:c>
      <x:c r="K147" s="18" t="str"/>
      <x:c r="L147" s="17" t="str"/>
      <x:c r="M147" s="20" t="n">
        <x:v>46220</x:v>
      </x:c>
      <x:c r="N147" s="21" t="n">
        <x:v>100</x:v>
      </x:c>
      <x:c r="O147" s="21" t="n">
        <x:v>93</x:v>
      </x:c>
      <x:c r="P147" s="21" t="n">
        <x:v>1001</x:v>
      </x:c>
      <x:c r="Q147" s="21" t="n">
        <x:v>1</x:v>
      </x:c>
      <x:c r="R147" s="21" t="n">
        <x:v>0</x:v>
      </x:c>
      <x:c r="S147" s="17" t="str">
        <x:v>유성구 칼국수</x:v>
      </x:c>
      <x:c r="T147" s="22" t="n">
        <x:v>36.3512836</x:v>
      </x:c>
      <x:c r="U147" s="22" t="n">
        <x:v>127.3381056</x:v>
      </x:c>
    </x:row>
    <x:row r="148" ht="32" customHeight="1">
      <x:c r="A148" s="18" t="str">
        <x:v>pending</x:v>
      </x:c>
      <x:c r="B148" s="18" t="str">
        <x:v>유성구</x:v>
      </x:c>
      <x:c r="C148" s="17" t="str">
        <x:v>손의손 대전관평점</x:v>
      </x:c>
      <x:c r="D148" s="17" t="str">
        <x:v>해물,생선요리&gt;주꾸미요리</x:v>
      </x:c>
      <x:c r="E148" s="19" t="n">
        <x:v>58</x:v>
      </x:c>
      <x:c r="F148" s="17" t="str">
        <x:v>지역성: 대전; 최근 12개월 블로그 100건</x:v>
      </x:c>
      <x:c r="G148" s="17" t="str">
        <x:v>대전광역시 유성구 관평동 957 102호</x:v>
      </x:c>
      <x:c r="H148" s="17" t="str">
        <x:v>대전광역시 유성구 테크노중앙로 66 102호</x:v>
      </x:c>
      <x:c r="I148" s="18" t="e">
        <x:f>HYPERLINK("https://search.naver.com/search.naver?where=blog&amp;query=%EC%86%90%EC%9D%98%EC%86%90+%EB%8C%80%EC%A0%84%EA%B4%80%ED%8F%89%EC%A0%90+%EC%9C%A0%EC%84%B1%EA%B5%AC","블로그 보기")</x:f>
        <x:v>HYPERLINK is not implemented. linkLocation=https://search.naver.com/search.naver?where=blog&amp;query=%EC%86%90%EC%9D%98%EC%86%90+%EB%8C%80%EC%A0%84%EA%B4%80%ED%8F%89%EC%A0%90+%EC%9C%A0%EC%84%B1%EA%B5%AC, friendlyName=블로그 보기</x:v>
      </x:c>
      <x:c r="J148" s="18" t="e">
        <x:f>HYPERLINK("https://blog.naver.com/sonofson_","업체 보기")</x:f>
        <x:v>HYPERLINK is not implemented. linkLocation=https://blog.naver.com/sonofson_, friendlyName=업체 보기</x:v>
      </x:c>
      <x:c r="K148" s="18" t="str"/>
      <x:c r="L148" s="17" t="str"/>
      <x:c r="M148" s="20" t="n">
        <x:v>46220</x:v>
      </x:c>
      <x:c r="N148" s="21" t="n">
        <x:v>100</x:v>
      </x:c>
      <x:c r="O148" s="21" t="n">
        <x:v>93</x:v>
      </x:c>
      <x:c r="P148" s="21" t="n">
        <x:v>176</x:v>
      </x:c>
      <x:c r="Q148" s="21" t="n">
        <x:v>1</x:v>
      </x:c>
      <x:c r="R148" s="21" t="n">
        <x:v>1</x:v>
      </x:c>
      <x:c r="S148" s="17" t="str">
        <x:v>유성구 해산물</x:v>
      </x:c>
      <x:c r="T148" s="22" t="n">
        <x:v>36.4257019</x:v>
      </x:c>
      <x:c r="U148" s="22" t="n">
        <x:v>127.3923866</x:v>
      </x:c>
    </x:row>
    <x:row r="149" ht="32" customHeight="1">
      <x:c r="A149" s="18" t="str">
        <x:v>pending</x:v>
      </x:c>
      <x:c r="B149" s="18" t="str">
        <x:v>유성구</x:v>
      </x:c>
      <x:c r="C149" s="17" t="str">
        <x:v>쌈의 대가</x:v>
      </x:c>
      <x:c r="D149" s="17" t="str">
        <x:v>한식&gt;쌈밥</x:v>
      </x:c>
      <x:c r="E149" s="19" t="n">
        <x:v>58</x:v>
      </x:c>
      <x:c r="F149" s="17" t="str">
        <x:v>최근 12개월 블로그 100건</x:v>
      </x:c>
      <x:c r="G149" s="17" t="str">
        <x:v>대전광역시 유성구 어은동 103-9</x:v>
      </x:c>
      <x:c r="H149" s="17" t="str">
        <x:v>대전광역시 유성구 농대로8번길 19</x:v>
      </x:c>
      <x:c r="I149" s="18" t="e">
        <x:f>HYPERLINK("https://search.naver.com/search.naver?where=blog&amp;query=%EC%8C%88%EC%9D%98+%EB%8C%80%EA%B0%80+%EC%9C%A0%EC%84%B1%EA%B5%AC","블로그 보기")</x:f>
        <x:v>HYPERLINK is not implemented. linkLocation=https://search.naver.com/search.naver?where=blog&amp;query=%EC%8C%88%EC%9D%98+%EB%8C%80%EA%B0%80+%EC%9C%A0%EC%84%B1%EA%B5%AC, friendlyName=블로그 보기</x:v>
      </x:c>
      <x:c r="J149" s="18" t="str"/>
      <x:c r="K149" s="18" t="str"/>
      <x:c r="L149" s="17" t="str"/>
      <x:c r="M149" s="20" t="n">
        <x:v>46220</x:v>
      </x:c>
      <x:c r="N149" s="21" t="n">
        <x:v>100</x:v>
      </x:c>
      <x:c r="O149" s="21" t="n">
        <x:v>97</x:v>
      </x:c>
      <x:c r="P149" s="21" t="n">
        <x:v>319</x:v>
      </x:c>
      <x:c r="Q149" s="21" t="n">
        <x:v>2</x:v>
      </x:c>
      <x:c r="R149" s="21" t="n">
        <x:v>1</x:v>
      </x:c>
      <x:c r="S149" s="17" t="str">
        <x:v>어은동 국밥</x:v>
      </x:c>
      <x:c r="T149" s="22" t="n">
        <x:v>36.3618211</x:v>
      </x:c>
      <x:c r="U149" s="22" t="n">
        <x:v>127.3549528</x:v>
      </x:c>
    </x:row>
    <x:row r="150" ht="32" customHeight="1">
      <x:c r="A150" s="18" t="str">
        <x:v>pending</x:v>
      </x:c>
      <x:c r="B150" s="18" t="str">
        <x:v>유성구</x:v>
      </x:c>
      <x:c r="C150" s="17" t="str">
        <x:v>형과아우누룽지삼계탕&amp;왕갈비탕 대전관평현대아울렛점</x:v>
      </x:c>
      <x:c r="D150" s="17" t="str">
        <x:v>한식&gt;백숙,삼계탕</x:v>
      </x:c>
      <x:c r="E150" s="19" t="n">
        <x:v>58</x:v>
      </x:c>
      <x:c r="F150" s="17" t="str">
        <x:v>지역성: 대전; 최근 12개월 블로그 100건</x:v>
      </x:c>
      <x:c r="G150" s="17" t="str">
        <x:v>대전광역시 유성구 용산동 576 1층 103호</x:v>
      </x:c>
      <x:c r="H150" s="17" t="str">
        <x:v>대전광역시 유성구 테크노중앙로 153 1층 103호</x:v>
      </x:c>
      <x:c r="I150" s="18" t="e">
        <x:f>HYPERLINK("https://search.naver.com/search.naver?where=blog&amp;query=%ED%98%95%EA%B3%BC%EC%95%84%EC%9A%B0%EB%88%84%EB%A3%BD%EC%A7%80%EC%82%BC%EA%B3%84%ED%83%95%26%EC%99%95%EA%B0%88%EB%B9%84%ED%83%95+%EB%8C%80%EC%A0%84%EA%B4%80%ED%8F%89%ED%98%84%EB%8C%80%EC%95%84%EC%9A%B8%EB%A0%9B%EC%A0%90+%EC%9C%A0%EC%84%B1%EA%B5%AC","블로그 보기")</x:f>
        <x:v>HYPERLINK is not implemented. linkLocation=https://search.naver.com/search.naver?where=blog&amp;query=%ED%98%95%EA%B3%BC%EC%95%84%EC%9A%B0%EB%88%84%EB%A3%BD%EC%A7%80%EC%82%BC%EA%B3%84%ED%83%95%26%EC%99%95%EA%B0%88%EB%B9%84%ED%83%95+%EB%8C%80%EC%A0%84%EA%B4%80%ED%8F%89%ED%98%84%EB%8C%80%EC%95%84%EC%9A%B8%EB%A0%9B%EC%A0%90+%EC%9C%A0%EC%84%B1%EA%B5%AC, friendlyName=블로그 보기</x:v>
      </x:c>
      <x:c r="J150" s="18" t="str"/>
      <x:c r="K150" s="18" t="str"/>
      <x:c r="L150" s="17" t="str"/>
      <x:c r="M150" s="20" t="n">
        <x:v>46219</x:v>
      </x:c>
      <x:c r="N150" s="21" t="n">
        <x:v>100</x:v>
      </x:c>
      <x:c r="O150" s="21" t="n">
        <x:v>96</x:v>
      </x:c>
      <x:c r="P150" s="21" t="n">
        <x:v>1597</x:v>
      </x:c>
      <x:c r="Q150" s="21" t="n">
        <x:v>1</x:v>
      </x:c>
      <x:c r="R150" s="21" t="n">
        <x:v>0</x:v>
      </x:c>
      <x:c r="S150" s="17" t="str">
        <x:v>유성구 삼계탕</x:v>
      </x:c>
      <x:c r="T150" s="22" t="n">
        <x:v>36.423055</x:v>
      </x:c>
      <x:c r="U150" s="22" t="n">
        <x:v>127.4008184</x:v>
      </x:c>
    </x:row>
    <x:row r="151" ht="32" customHeight="1">
      <x:c r="A151" s="18" t="str">
        <x:v>pending</x:v>
      </x:c>
      <x:c r="B151" s="18" t="str">
        <x:v>유성구</x:v>
      </x:c>
      <x:c r="C151" s="17" t="str">
        <x:v>오사카데스 대전봉명점</x:v>
      </x:c>
      <x:c r="D151" s="17" t="str">
        <x:v>술집&gt;요리주점</x:v>
      </x:c>
      <x:c r="E151" s="19" t="n">
        <x:v>57</x:v>
      </x:c>
      <x:c r="F151" s="17" t="str">
        <x:v>지역성: 대전; 최근 12개월 블로그 71건</x:v>
      </x:c>
      <x:c r="G151" s="17" t="str">
        <x:v>대전광역시 유성구 봉명동 626-2 1층</x:v>
      </x:c>
      <x:c r="H151" s="17" t="str">
        <x:v>대전광역시 유성구 온천북로13번길 20 1층</x:v>
      </x:c>
      <x:c r="I151" s="18" t="e">
        <x:f>HYPERLINK("https://search.naver.com/search.naver?where=blog&amp;query=%EC%98%A4%EC%82%AC%EC%B9%B4%EB%8D%B0%EC%8A%A4+%EB%8C%80%EC%A0%84%EB%B4%89%EB%AA%85%EC%A0%90+%EC%9C%A0%EC%84%B1%EA%B5%AC","블로그 보기")</x:f>
        <x:v>HYPERLINK is not implemented. linkLocation=https://search.naver.com/search.naver?where=blog&amp;query=%EC%98%A4%EC%82%AC%EC%B9%B4%EB%8D%B0%EC%8A%A4+%EB%8C%80%EC%A0%84%EB%B4%89%EB%AA%85%EC%A0%90+%EC%9C%A0%EC%84%B1%EA%B5%AC, friendlyName=블로그 보기</x:v>
      </x:c>
      <x:c r="J151" s="18" t="e">
        <x:f>HYPERLINK("https://blog.naver.com/osakades_","업체 보기")</x:f>
        <x:v>HYPERLINK is not implemented. linkLocation=https://blog.naver.com/osakades_, friendlyName=업체 보기</x:v>
      </x:c>
      <x:c r="K151" s="18" t="str"/>
      <x:c r="L151" s="17" t="str"/>
      <x:c r="M151" s="20" t="n">
        <x:v>46209</x:v>
      </x:c>
      <x:c r="N151" s="21" t="n">
        <x:v>71</x:v>
      </x:c>
      <x:c r="O151" s="21" t="n">
        <x:v>97</x:v>
      </x:c>
      <x:c r="P151" s="21" t="n">
        <x:v>710</x:v>
      </x:c>
      <x:c r="Q151" s="21" t="n">
        <x:v>1</x:v>
      </x:c>
      <x:c r="R151" s="21" t="n">
        <x:v>0</x:v>
      </x:c>
      <x:c r="S151" s="17" t="str">
        <x:v>유성구 일식</x:v>
      </x:c>
      <x:c r="T151" s="22" t="n">
        <x:v>36.3579943</x:v>
      </x:c>
      <x:c r="U151" s="22" t="n">
        <x:v>127.3449716</x:v>
      </x:c>
    </x:row>
    <x:row r="152" ht="32" customHeight="1">
      <x:c r="A152" s="18" t="str">
        <x:v>pending</x:v>
      </x:c>
      <x:c r="B152" s="18" t="str">
        <x:v>유성구</x:v>
      </x:c>
      <x:c r="C152" s="17" t="str">
        <x:v>우식이네 숙성관 본점</x:v>
      </x:c>
      <x:c r="D152" s="17" t="str">
        <x:v>한식&gt;육류,고기요리</x:v>
      </x:c>
      <x:c r="E152" s="19" t="n">
        <x:v>57</x:v>
      </x:c>
      <x:c r="F152" s="17" t="str">
        <x:v>지역성: 본점; 최근 12개월 블로그 99건</x:v>
      </x:c>
      <x:c r="G152" s="17" t="str">
        <x:v>대전광역시 유성구 도룡동 4-9 도룡 하우스디 1층 A112호~A118호</x:v>
      </x:c>
      <x:c r="H152" s="17" t="str">
        <x:v>대전광역시 유성구 엑스포로151번길 19 도룡 하우스디 1층 A112호~A118호</x:v>
      </x:c>
      <x:c r="I152" s="18" t="e">
        <x:f>HYPERLINK("https://search.naver.com/search.naver?where=blog&amp;query=%EC%9A%B0%EC%8B%9D%EC%9D%B4%EB%84%A4+%EC%88%99%EC%84%B1%EA%B4%80+%EB%B3%B8%EC%A0%90+%EC%9C%A0%EC%84%B1%EA%B5%AC","블로그 보기")</x:f>
        <x:v>HYPERLINK is not implemented. linkLocation=https://search.naver.com/search.naver?where=blog&amp;query=%EC%9A%B0%EC%8B%9D%EC%9D%B4%EB%84%A4+%EC%88%99%EC%84%B1%EA%B4%80+%EB%B3%B8%EC%A0%90+%EC%9C%A0%EC%84%B1%EA%B5%AC, friendlyName=블로그 보기</x:v>
      </x:c>
      <x:c r="J152" s="18" t="str"/>
      <x:c r="K152" s="18" t="str"/>
      <x:c r="L152" s="17" t="str"/>
      <x:c r="M152" s="20" t="n">
        <x:v>46166</x:v>
      </x:c>
      <x:c r="N152" s="21" t="n">
        <x:v>99</x:v>
      </x:c>
      <x:c r="O152" s="21" t="n">
        <x:v>93</x:v>
      </x:c>
      <x:c r="P152" s="21" t="n">
        <x:v>517</x:v>
      </x:c>
      <x:c r="Q152" s="21" t="n">
        <x:v>1</x:v>
      </x:c>
      <x:c r="R152" s="21" t="n">
        <x:v>0</x:v>
      </x:c>
      <x:c r="S152" s="17" t="str">
        <x:v>유성구 고기</x:v>
      </x:c>
      <x:c r="T152" s="22" t="n">
        <x:v>36.3764449</x:v>
      </x:c>
      <x:c r="U152" s="22" t="n">
        <x:v>127.3948826</x:v>
      </x:c>
    </x:row>
    <x:row r="153" ht="32" customHeight="1">
      <x:c r="A153" s="18" t="str">
        <x:v>pending</x:v>
      </x:c>
      <x:c r="B153" s="18" t="str">
        <x:v>유성구</x:v>
      </x:c>
      <x:c r="C153" s="17" t="str">
        <x:v>운탄 대전봉명점</x:v>
      </x:c>
      <x:c r="D153" s="17" t="str">
        <x:v>음식점&gt;한식</x:v>
      </x:c>
      <x:c r="E153" s="19" t="n">
        <x:v>57</x:v>
      </x:c>
      <x:c r="F153" s="17" t="str">
        <x:v>지역성: 대전; 최근 12개월 블로그 36건</x:v>
      </x:c>
      <x:c r="G153" s="17" t="str">
        <x:v>대전광역시 유성구 봉명동 676-2 1층 102호</x:v>
      </x:c>
      <x:c r="H153" s="17" t="str">
        <x:v>대전광역시 유성구 문화원로 138 1층 102호</x:v>
      </x:c>
      <x:c r="I153" s="18" t="e">
        <x:f>HYPERLINK("https://search.naver.com/search.naver?where=blog&amp;query=%EC%9A%B4%ED%83%84+%EB%8C%80%EC%A0%84%EB%B4%89%EB%AA%85%EC%A0%90+%EC%9C%A0%EC%84%B1%EA%B5%AC","블로그 보기")</x:f>
        <x:v>HYPERLINK is not implemented. linkLocation=https://search.naver.com/search.naver?where=blog&amp;query=%EC%9A%B4%ED%83%84+%EB%8C%80%EC%A0%84%EB%B4%89%EB%AA%85%EC%A0%90+%EC%9C%A0%EC%84%B1%EA%B5%AC, friendlyName=블로그 보기</x:v>
      </x:c>
      <x:c r="J153" s="18" t="str"/>
      <x:c r="K153" s="18" t="str"/>
      <x:c r="L153" s="17" t="str"/>
      <x:c r="M153" s="20" t="n">
        <x:v>46211</x:v>
      </x:c>
      <x:c r="N153" s="21" t="n">
        <x:v>36</x:v>
      </x:c>
      <x:c r="O153" s="21" t="n">
        <x:v>85</x:v>
      </x:c>
      <x:c r="P153" s="21" t="n">
        <x:v>88</x:v>
      </x:c>
      <x:c r="Q153" s="21" t="n">
        <x:v>1</x:v>
      </x:c>
      <x:c r="R153" s="21" t="n">
        <x:v>1</x:v>
      </x:c>
      <x:c r="S153" s="17" t="str">
        <x:v>어은동 노포</x:v>
      </x:c>
      <x:c r="T153" s="22" t="n">
        <x:v>36.3581663</x:v>
      </x:c>
      <x:c r="U153" s="22" t="n">
        <x:v>127.3508947</x:v>
      </x:c>
    </x:row>
    <x:row r="154" ht="32" customHeight="1">
      <x:c r="A154" s="18" t="str">
        <x:v>pending</x:v>
      </x:c>
      <x:c r="B154" s="18" t="str">
        <x:v>유성구</x:v>
      </x:c>
      <x:c r="C154" s="17" t="str">
        <x:v>형과아우누룽지삼계탕&amp;왕갈비탕</x:v>
      </x:c>
      <x:c r="D154" s="17" t="str">
        <x:v>한식&gt;백숙,삼계탕</x:v>
      </x:c>
      <x:c r="E154" s="19" t="n">
        <x:v>57</x:v>
      </x:c>
      <x:c r="F154" s="17" t="str">
        <x:v>최근 12개월 블로그 100건</x:v>
      </x:c>
      <x:c r="G154" s="17" t="str">
        <x:v>대전광역시 유성구 도룡동 395-7 지상1층()</x:v>
      </x:c>
      <x:c r="H154" s="17" t="str">
        <x:v>대전광역시 유성구 대덕대로590번길 12-7 지상1층(도룡동)</x:v>
      </x:c>
      <x:c r="I154" s="18" t="e">
        <x:f>HYPERLINK("https://search.naver.com/search.naver?where=blog&amp;query=%ED%98%95%EA%B3%BC%EC%95%84%EC%9A%B0%EB%88%84%EB%A3%BD%EC%A7%80%EC%82%BC%EA%B3%84%ED%83%95%26%EC%99%95%EA%B0%88%EB%B9%84%ED%83%95+%EB%8F%84%EB%A3%A1%EB%8F%99","블로그 보기")</x:f>
        <x:v>HYPERLINK is not implemented. linkLocation=https://search.naver.com/search.naver?where=blog&amp;query=%ED%98%95%EA%B3%BC%EC%95%84%EC%9A%B0%EB%88%84%EB%A3%BD%EC%A7%80%EC%82%BC%EA%B3%84%ED%83%95%26%EC%99%95%EA%B0%88%EB%B9%84%ED%83%95+%EB%8F%84%EB%A3%A1%EB%8F%99, friendlyName=블로그 보기</x:v>
      </x:c>
      <x:c r="J154" s="18" t="e">
        <x:f>HYPERLINK("https://233.quv.kr/","업체 보기")</x:f>
        <x:v>HYPERLINK is not implemented. linkLocation=https://233.quv.kr/, friendlyName=업체 보기</x:v>
      </x:c>
      <x:c r="K154" s="18" t="str"/>
      <x:c r="L154" s="17" t="str"/>
      <x:c r="M154" s="20" t="n">
        <x:v>46223</x:v>
      </x:c>
      <x:c r="N154" s="21" t="n">
        <x:v>100</x:v>
      </x:c>
      <x:c r="O154" s="21" t="n">
        <x:v>97</x:v>
      </x:c>
      <x:c r="P154" s="21" t="n">
        <x:v>3497</x:v>
      </x:c>
      <x:c r="Q154" s="21" t="n">
        <x:v>1</x:v>
      </x:c>
      <x:c r="R154" s="21" t="n">
        <x:v>1</x:v>
      </x:c>
      <x:c r="S154" s="17" t="str">
        <x:v>유성구 삼계탕</x:v>
      </x:c>
      <x:c r="T154" s="22" t="n">
        <x:v>36.3852558</x:v>
      </x:c>
      <x:c r="U154" s="22" t="n">
        <x:v>127.3795769</x:v>
      </x:c>
    </x:row>
    <x:row r="155" ht="32" customHeight="1">
      <x:c r="A155" s="18" t="str">
        <x:v>pending</x:v>
      </x:c>
      <x:c r="B155" s="18" t="str">
        <x:v>유성구</x:v>
      </x:c>
      <x:c r="C155" s="17" t="str">
        <x:v>고치소사마 대전 봉명</x:v>
      </x:c>
      <x:c r="D155" s="17" t="str">
        <x:v>음식점&gt;일식&gt;일식당</x:v>
      </x:c>
      <x:c r="E155" s="19" t="n">
        <x:v>56</x:v>
      </x:c>
      <x:c r="F155" s="17" t="str">
        <x:v>지역성: 대전; 최근 12개월 블로그 100건</x:v>
      </x:c>
      <x:c r="G155" s="17" t="str">
        <x:v>대전광역시 유성구 봉명동 683-6 고치소사마 대전봉명</x:v>
      </x:c>
      <x:c r="H155" s="17" t="str">
        <x:v>대전광역시 유성구 온천동로65번길 26 고치소사마 대전봉명</x:v>
      </x:c>
      <x:c r="I155" s="18" t="e">
        <x:f>HYPERLINK("https://search.naver.com/search.naver?where=blog&amp;query=%EA%B3%A0%EC%B9%98%EC%86%8C%EC%82%AC%EB%A7%88+%EB%8C%80%EC%A0%84+%EB%B4%89%EB%AA%85+%EC%98%A8%EC%B2%9C%EB%8F%99","블로그 보기")</x:f>
        <x:v>HYPERLINK is not implemented. linkLocation=https://search.naver.com/search.naver?where=blog&amp;query=%EA%B3%A0%EC%B9%98%EC%86%8C%EC%82%AC%EB%A7%88+%EB%8C%80%EC%A0%84+%EB%B4%89%EB%AA%85+%EC%98%A8%EC%B2%9C%EB%8F%99, friendlyName=블로그 보기</x:v>
      </x:c>
      <x:c r="J155" s="18" t="e">
        <x:f>HYPERLINK("http://www.instagram.com/gochisosama_","업체 보기")</x:f>
        <x:v>HYPERLINK is not implemented. linkLocation=http://www.instagram.com/gochisosama_, friendlyName=업체 보기</x:v>
      </x:c>
      <x:c r="K155" s="18" t="str"/>
      <x:c r="L155" s="17" t="str"/>
      <x:c r="M155" s="20" t="n">
        <x:v>46209</x:v>
      </x:c>
      <x:c r="N155" s="21" t="n">
        <x:v>100</x:v>
      </x:c>
      <x:c r="O155" s="21" t="n">
        <x:v>96</x:v>
      </x:c>
      <x:c r="P155" s="21" t="n">
        <x:v>225</x:v>
      </x:c>
      <x:c r="Q155" s="21" t="n">
        <x:v>1</x:v>
      </x:c>
      <x:c r="R155" s="21" t="n">
        <x:v>0</x:v>
      </x:c>
      <x:c r="S155" s="17" t="str">
        <x:v>유성구 일식</x:v>
      </x:c>
      <x:c r="T155" s="22" t="n">
        <x:v>36.3572464</x:v>
      </x:c>
      <x:c r="U155" s="22" t="n">
        <x:v>127.3514911</x:v>
      </x:c>
    </x:row>
    <x:row r="156" ht="32" customHeight="1">
      <x:c r="A156" s="18" t="str">
        <x:v>pending</x:v>
      </x:c>
      <x:c r="B156" s="18" t="str">
        <x:v>유성구</x:v>
      </x:c>
      <x:c r="C156" s="17" t="str">
        <x:v>꿀돼지돌판구이</x:v>
      </x:c>
      <x:c r="D156" s="17" t="str">
        <x:v>한식&gt;돼지고기구이</x:v>
      </x:c>
      <x:c r="E156" s="19" t="n">
        <x:v>56</x:v>
      </x:c>
      <x:c r="F156" s="17" t="str">
        <x:v>최근 12개월 블로그 22건</x:v>
      </x:c>
      <x:c r="G156" s="17" t="str">
        <x:v>대전광역시 유성구 어은동 100-12</x:v>
      </x:c>
      <x:c r="H156" s="17" t="str">
        <x:v>대전광역시 유성구 어은로51번길 58</x:v>
      </x:c>
      <x:c r="I156" s="18" t="e">
        <x:f>HYPERLINK("https://search.naver.com/search.naver?where=blog&amp;query=%EA%BF%80%EB%8F%BC%EC%A7%80%EB%8F%8C%ED%8C%90%EA%B5%AC%EC%9D%B4+%EC%9C%A0%EC%84%B1%EA%B5%AC","블로그 보기")</x:f>
        <x:v>HYPERLINK is not implemented. linkLocation=https://search.naver.com/search.naver?where=blog&amp;query=%EA%BF%80%EB%8F%BC%EC%A7%80%EB%8F%8C%ED%8C%90%EA%B5%AC%EC%9D%B4+%EC%9C%A0%EC%84%B1%EA%B5%AC, friendlyName=블로그 보기</x:v>
      </x:c>
      <x:c r="J156" s="18" t="str"/>
      <x:c r="K156" s="18" t="str"/>
      <x:c r="L156" s="17" t="str"/>
      <x:c r="M156" s="20" t="n">
        <x:v>46190</x:v>
      </x:c>
      <x:c r="N156" s="21" t="n">
        <x:v>22</x:v>
      </x:c>
      <x:c r="O156" s="21" t="n">
        <x:v>25</x:v>
      </x:c>
      <x:c r="P156" s="21" t="n">
        <x:v>49</x:v>
      </x:c>
      <x:c r="Q156" s="21" t="n">
        <x:v>2</x:v>
      </x:c>
      <x:c r="R156" s="21" t="n">
        <x:v>1</x:v>
      </x:c>
      <x:c r="S156" s="17" t="str">
        <x:v>어은동 삼계탕</x:v>
      </x:c>
      <x:c r="T156" s="22" t="n">
        <x:v>36.3618719</x:v>
      </x:c>
      <x:c r="U156" s="22" t="n">
        <x:v>127.3537317</x:v>
      </x:c>
    </x:row>
    <x:row r="157" ht="32" customHeight="1">
      <x:c r="A157" s="18" t="str">
        <x:v>pending</x:v>
      </x:c>
      <x:c r="B157" s="18" t="str">
        <x:v>유성구</x:v>
      </x:c>
      <x:c r="C157" s="17" t="str">
        <x:v>별리달리 별달돈까스 궁동점</x:v>
      </x:c>
      <x:c r="D157" s="17" t="str">
        <x:v>음식점&gt;일식&gt;돈가스</x:v>
      </x:c>
      <x:c r="E157" s="19" t="n">
        <x:v>56</x:v>
      </x:c>
      <x:c r="F157" s="17" t="str">
        <x:v>최근 12개월 블로그 100건</x:v>
      </x:c>
      <x:c r="G157" s="17" t="str">
        <x:v>대전광역시 유성구 궁동 399-11</x:v>
      </x:c>
      <x:c r="H157" s="17" t="str">
        <x:v>대전광역시 유성구 궁동로18번길 45</x:v>
      </x:c>
      <x:c r="I157" s="18" t="e">
        <x:f>HYPERLINK("https://search.naver.com/search.naver?where=blog&amp;query=%EB%B3%84%EB%A6%AC%EB%8B%AC%EB%A6%AC+%EB%B3%84%EB%8B%AC%EB%8F%88%EA%B9%8C%EC%8A%A4+%EA%B6%81%EB%8F%99%EC%A0%90+%EA%B6%81%EB%8F%99","블로그 보기")</x:f>
        <x:v>HYPERLINK is not implemented. linkLocation=https://search.naver.com/search.naver?where=blog&amp;query=%EB%B3%84%EB%A6%AC%EB%8B%AC%EB%A6%AC+%EB%B3%84%EB%8B%AC%EB%8F%88%EA%B9%8C%EC%8A%A4+%EA%B6%81%EB%8F%99%EC%A0%90+%EA%B6%81%EB%8F%99, friendlyName=블로그 보기</x:v>
      </x:c>
      <x:c r="J157" s="18" t="e">
        <x:f>HYPERLINK("https://blog.naver.com/starmooncaffe/223277382909","업체 보기")</x:f>
        <x:v>HYPERLINK is not implemented. linkLocation=https://blog.naver.com/starmooncaffe/223277382909, friendlyName=업체 보기</x:v>
      </x:c>
      <x:c r="K157" s="18" t="str"/>
      <x:c r="L157" s="17" t="str"/>
      <x:c r="M157" s="20" t="n">
        <x:v>46220</x:v>
      </x:c>
      <x:c r="N157" s="21" t="n">
        <x:v>100</x:v>
      </x:c>
      <x:c r="O157" s="21" t="n">
        <x:v>84</x:v>
      </x:c>
      <x:c r="P157" s="21" t="n">
        <x:v>1233</x:v>
      </x:c>
      <x:c r="Q157" s="21" t="n">
        <x:v>1</x:v>
      </x:c>
      <x:c r="R157" s="21" t="n">
        <x:v>1</x:v>
      </x:c>
      <x:c r="S157" s="17" t="str">
        <x:v>유성구 일식</x:v>
      </x:c>
      <x:c r="T157" s="22" t="n">
        <x:v>36.3628789</x:v>
      </x:c>
      <x:c r="U157" s="22" t="n">
        <x:v>127.3498012</x:v>
      </x:c>
    </x:row>
    <x:row r="158" ht="32" customHeight="1">
      <x:c r="A158" s="18" t="str">
        <x:v>pending</x:v>
      </x:c>
      <x:c r="B158" s="18" t="str">
        <x:v>유성구</x:v>
      </x:c>
      <x:c r="C158" s="17" t="str">
        <x:v>샤오차이나 룸 중식주점 궁동본점</x:v>
      </x:c>
      <x:c r="D158" s="17" t="str">
        <x:v>술집&gt;요리주점</x:v>
      </x:c>
      <x:c r="E158" s="19" t="n">
        <x:v>56</x:v>
      </x:c>
      <x:c r="F158" s="17" t="str">
        <x:v>지역성: 본점; 최근 12개월 블로그 100건</x:v>
      </x:c>
      <x:c r="G158" s="17" t="str">
        <x:v>대전광역시 유성구 궁동 410-13 5층</x:v>
      </x:c>
      <x:c r="H158" s="17" t="str">
        <x:v>대전광역시 유성구 대학로151번길 25 5층</x:v>
      </x:c>
      <x:c r="I158" s="18" t="e">
        <x:f>HYPERLINK("https://search.naver.com/search.naver?where=blog&amp;query=%EC%83%A4%EC%98%A4%EC%B0%A8%EC%9D%B4%EB%82%98+%EB%A3%B8+%EC%A4%91%EC%8B%9D%EC%A3%BC%EC%A0%90+%EA%B6%81%EB%8F%99%EB%B3%B8%EC%A0%90+%EC%9C%A0%EC%84%B1%EA%B5%AC","블로그 보기")</x:f>
        <x:v>HYPERLINK is not implemented. linkLocation=https://search.naver.com/search.naver?where=blog&amp;query=%EC%83%A4%EC%98%A4%EC%B0%A8%EC%9D%B4%EB%82%98+%EB%A3%B8+%EC%A4%91%EC%8B%9D%EC%A3%BC%EC%A0%90+%EA%B6%81%EB%8F%99%EB%B3%B8%EC%A0%90+%EC%9C%A0%EC%84%B1%EA%B5%AC, friendlyName=블로그 보기</x:v>
      </x:c>
      <x:c r="J158" s="18" t="e">
        <x:f>HYPERLINK("https://www.instagram.com/xiaochina_","업체 보기")</x:f>
        <x:v>HYPERLINK is not implemented. linkLocation=https://www.instagram.com/xiaochina_, friendlyName=업체 보기</x:v>
      </x:c>
      <x:c r="K158" s="18" t="str"/>
      <x:c r="L158" s="17" t="str"/>
      <x:c r="M158" s="20" t="n">
        <x:v>46220</x:v>
      </x:c>
      <x:c r="N158" s="21" t="n">
        <x:v>100</x:v>
      </x:c>
      <x:c r="O158" s="21" t="n">
        <x:v>83</x:v>
      </x:c>
      <x:c r="P158" s="21" t="n">
        <x:v>325</x:v>
      </x:c>
      <x:c r="Q158" s="21" t="n">
        <x:v>1</x:v>
      </x:c>
      <x:c r="R158" s="21" t="n">
        <x:v>0</x:v>
      </x:c>
      <x:c r="S158" s="17" t="str">
        <x:v>유성구 해산물</x:v>
      </x:c>
      <x:c r="T158" s="22" t="n">
        <x:v>36.3618412</x:v>
      </x:c>
      <x:c r="U158" s="22" t="n">
        <x:v>127.3500444</x:v>
      </x:c>
    </x:row>
    <x:row r="159" ht="32" customHeight="1">
      <x:c r="A159" s="18" t="str">
        <x:v>pending</x:v>
      </x:c>
      <x:c r="B159" s="18" t="str">
        <x:v>유성구</x:v>
      </x:c>
      <x:c r="C159" s="17" t="str">
        <x:v>전민엄마김밥 본점</x:v>
      </x:c>
      <x:c r="D159" s="17" t="str">
        <x:v>분식&gt;김밥</x:v>
      </x:c>
      <x:c r="E159" s="19" t="n">
        <x:v>56</x:v>
      </x:c>
      <x:c r="F159" s="17" t="str">
        <x:v>지역성: 본점; 최근 12개월 블로그 100건</x:v>
      </x:c>
      <x:c r="G159" s="17" t="str">
        <x:v>대전광역시 유성구 전민동 346-1 1층</x:v>
      </x:c>
      <x:c r="H159" s="17" t="str">
        <x:v>대전광역시 유성구 전민로70번길 12 1층</x:v>
      </x:c>
      <x:c r="I159" s="18" t="e">
        <x:f>HYPERLINK("https://search.naver.com/search.naver?where=blog&amp;query=%EC%A0%84%EB%AF%BC%EC%97%84%EB%A7%88%EA%B9%80%EB%B0%A5+%EB%B3%B8%EC%A0%90+%EC%9C%A0%EC%84%B1%EA%B5%AC","블로그 보기")</x:f>
        <x:v>HYPERLINK is not implemented. linkLocation=https://search.naver.com/search.naver?where=blog&amp;query=%EC%A0%84%EB%AF%BC%EC%97%84%EB%A7%88%EA%B9%80%EB%B0%A5+%EB%B3%B8%EC%A0%90+%EC%9C%A0%EC%84%B1%EA%B5%AC, friendlyName=블로그 보기</x:v>
      </x:c>
      <x:c r="J159" s="18" t="str"/>
      <x:c r="K159" s="18" t="str"/>
      <x:c r="L159" s="17" t="str"/>
      <x:c r="M159" s="20" t="n">
        <x:v>46220</x:v>
      </x:c>
      <x:c r="N159" s="21" t="n">
        <x:v>100</x:v>
      </x:c>
      <x:c r="O159" s="21" t="n">
        <x:v>95</x:v>
      </x:c>
      <x:c r="P159" s="21" t="n">
        <x:v>422</x:v>
      </x:c>
      <x:c r="Q159" s="21" t="n">
        <x:v>1</x:v>
      </x:c>
      <x:c r="R159" s="21" t="n">
        <x:v>0</x:v>
      </x:c>
      <x:c r="S159" s="17" t="str">
        <x:v>유성구 분식</x:v>
      </x:c>
      <x:c r="T159" s="22" t="n">
        <x:v>36.3988256</x:v>
      </x:c>
      <x:c r="U159" s="22" t="n">
        <x:v>127.400938</x:v>
      </x:c>
    </x:row>
    <x:row r="160" ht="32" customHeight="1">
      <x:c r="A160" s="18" t="str">
        <x:v>pending</x:v>
      </x:c>
      <x:c r="B160" s="18" t="str">
        <x:v>유성구</x:v>
      </x:c>
      <x:c r="C160" s="17" t="str">
        <x:v>전주두레박콩나물국밥</x:v>
      </x:c>
      <x:c r="D160" s="17" t="str">
        <x:v>한식&gt;국밥</x:v>
      </x:c>
      <x:c r="E160" s="19" t="n">
        <x:v>56</x:v>
      </x:c>
      <x:c r="F160" s="17" t="str">
        <x:v>최근 12개월 블로그 100건</x:v>
      </x:c>
      <x:c r="G160" s="17" t="str">
        <x:v>대전광역시 유성구 원신흥동 541-3</x:v>
      </x:c>
      <x:c r="H160" s="17" t="str">
        <x:v>대전광역시 유성구 원신흥남로 58</x:v>
      </x:c>
      <x:c r="I160" s="18" t="e">
        <x:f>HYPERLINK("https://search.naver.com/search.naver?where=blog&amp;query=%EC%A0%84%EC%A3%BC%EB%91%90%EB%A0%88%EB%B0%95%EC%BD%A9%EB%82%98%EB%AC%BC%EA%B5%AD%EB%B0%A5+%EC%9C%A0%EC%84%B1%EA%B5%AC","블로그 보기")</x:f>
        <x:v>HYPERLINK is not implemented. linkLocation=https://search.naver.com/search.naver?where=blog&amp;query=%EC%A0%84%EC%A3%BC%EB%91%90%EB%A0%88%EB%B0%95%EC%BD%A9%EB%82%98%EB%AC%BC%EA%B5%AD%EB%B0%A5+%EC%9C%A0%EC%84%B1%EA%B5%AC, friendlyName=블로그 보기</x:v>
      </x:c>
      <x:c r="J160" s="18" t="str"/>
      <x:c r="K160" s="18" t="str"/>
      <x:c r="L160" s="17" t="str"/>
      <x:c r="M160" s="20" t="n">
        <x:v>46221</x:v>
      </x:c>
      <x:c r="N160" s="21" t="n">
        <x:v>100</x:v>
      </x:c>
      <x:c r="O160" s="21" t="n">
        <x:v>94</x:v>
      </x:c>
      <x:c r="P160" s="21" t="n">
        <x:v>1677</x:v>
      </x:c>
      <x:c r="Q160" s="21" t="n">
        <x:v>1</x:v>
      </x:c>
      <x:c r="R160" s="21" t="n">
        <x:v>1</x:v>
      </x:c>
      <x:c r="S160" s="17" t="str">
        <x:v>유성구 두부두루치기</x:v>
      </x:c>
      <x:c r="T160" s="22" t="n">
        <x:v>36.3375653</x:v>
      </x:c>
      <x:c r="U160" s="22" t="n">
        <x:v>127.3383717</x:v>
      </x:c>
    </x:row>
    <x:row r="161" ht="32" customHeight="1">
      <x:c r="A161" s="18" t="str">
        <x:v>pending</x:v>
      </x:c>
      <x:c r="B161" s="18" t="str">
        <x:v>유성구</x:v>
      </x:c>
      <x:c r="C161" s="17" t="str">
        <x:v>목동칼국수 관평점</x:v>
      </x:c>
      <x:c r="D161" s="17" t="str">
        <x:v>음식점&gt;한식</x:v>
      </x:c>
      <x:c r="E161" s="19" t="n">
        <x:v>55</x:v>
      </x:c>
      <x:c r="F161" s="17" t="str">
        <x:v>지역성: 칼국수; 최근 12개월 블로그 51건</x:v>
      </x:c>
      <x:c r="G161" s="17" t="str">
        <x:v>대전광역시 유성구 관평동 1211</x:v>
      </x:c>
      <x:c r="H161" s="17" t="str">
        <x:v>대전광역시 유성구 관들5길 15-19</x:v>
      </x:c>
      <x:c r="I161" s="18" t="e">
        <x:f>HYPERLINK("https://search.naver.com/search.naver?where=blog&amp;query=%EB%AA%A9%EB%8F%99%EC%B9%BC%EA%B5%AD%EC%88%98+%EA%B4%80%ED%8F%89%EC%A0%90+%EC%9C%A0%EC%84%B1%EA%B5%AC","블로그 보기")</x:f>
        <x:v>HYPERLINK is not implemented. linkLocation=https://search.naver.com/search.naver?where=blog&amp;query=%EB%AA%A9%EB%8F%99%EC%B9%BC%EA%B5%AD%EC%88%98+%EA%B4%80%ED%8F%89%EC%A0%90+%EC%9C%A0%EC%84%B1%EA%B5%AC, friendlyName=블로그 보기</x:v>
      </x:c>
      <x:c r="J161" s="18" t="e">
        <x:f>HYPERLINK("https://www.instagram.com/mokdong_kalguksu","업체 보기")</x:f>
        <x:v>HYPERLINK is not implemented. linkLocation=https://www.instagram.com/mokdong_kalguksu, friendlyName=업체 보기</x:v>
      </x:c>
      <x:c r="K161" s="18" t="str"/>
      <x:c r="L161" s="17" t="str"/>
      <x:c r="M161" s="20" t="n">
        <x:v>46220</x:v>
      </x:c>
      <x:c r="N161" s="21" t="n">
        <x:v>51</x:v>
      </x:c>
      <x:c r="O161" s="21" t="n">
        <x:v>52</x:v>
      </x:c>
      <x:c r="P161" s="21" t="n">
        <x:v>104</x:v>
      </x:c>
      <x:c r="Q161" s="21" t="n">
        <x:v>1</x:v>
      </x:c>
      <x:c r="R161" s="21" t="n">
        <x:v>0</x:v>
      </x:c>
      <x:c r="S161" s="17" t="str">
        <x:v>유성구 두부두루치기</x:v>
      </x:c>
      <x:c r="T161" s="22" t="n">
        <x:v>36.4223732</x:v>
      </x:c>
      <x:c r="U161" s="22" t="n">
        <x:v>127.3930799</x:v>
      </x:c>
    </x:row>
    <x:row r="162" ht="32" customHeight="1">
      <x:c r="A162" s="18" t="str">
        <x:v>pending</x:v>
      </x:c>
      <x:c r="B162" s="18" t="str">
        <x:v>유성구</x:v>
      </x:c>
      <x:c r="C162" s="17" t="str">
        <x:v>무어</x:v>
      </x:c>
      <x:c r="D162" s="17" t="str">
        <x:v>이탈리아음식&gt;스파게티,파스타전문</x:v>
      </x:c>
      <x:c r="E162" s="19" t="n">
        <x:v>55</x:v>
      </x:c>
      <x:c r="F162" s="17" t="str">
        <x:v>최근 12개월 블로그 67건</x:v>
      </x:c>
      <x:c r="G162" s="17" t="str">
        <x:v>대전광역시 유성구 어은동 111-4 1층</x:v>
      </x:c>
      <x:c r="H162" s="17" t="str">
        <x:v>대전광역시 유성구 어은로58번길 20 1층</x:v>
      </x:c>
      <x:c r="I162" s="18" t="e">
        <x:f>HYPERLINK("https://search.naver.com/search.naver?where=blog&amp;query=%EB%AC%B4%EC%96%B4+%EC%9C%A0%EC%84%B1%EA%B5%AC","블로그 보기")</x:f>
        <x:v>HYPERLINK is not implemented. linkLocation=https://search.naver.com/search.naver?where=blog&amp;query=%EB%AC%B4%EC%96%B4+%EC%9C%A0%EC%84%B1%EA%B5%AC, friendlyName=블로그 보기</x:v>
      </x:c>
      <x:c r="J162" s="18" t="e">
        <x:f>HYPERLINK("http://instagram.com/moore__hs","업체 보기")</x:f>
        <x:v>HYPERLINK is not implemented. linkLocation=http://instagram.com/moore__hs, friendlyName=업체 보기</x:v>
      </x:c>
      <x:c r="K162" s="18" t="str"/>
      <x:c r="L162" s="17" t="str"/>
      <x:c r="M162" s="20" t="n">
        <x:v>46218</x:v>
      </x:c>
      <x:c r="N162" s="21" t="n">
        <x:v>67</x:v>
      </x:c>
      <x:c r="O162" s="21" t="n">
        <x:v>93</x:v>
      </x:c>
      <x:c r="P162" s="21" t="n">
        <x:v>638</x:v>
      </x:c>
      <x:c r="Q162" s="21" t="n">
        <x:v>1</x:v>
      </x:c>
      <x:c r="R162" s="21" t="n">
        <x:v>1</x:v>
      </x:c>
      <x:c r="S162" s="17" t="str">
        <x:v>어은동 해산물</x:v>
      </x:c>
      <x:c r="T162" s="22" t="n">
        <x:v>36.3637735</x:v>
      </x:c>
      <x:c r="U162" s="22" t="n">
        <x:v>127.35754</x:v>
      </x:c>
    </x:row>
    <x:row r="163" ht="32" customHeight="1">
      <x:c r="A163" s="18" t="str">
        <x:v>pending</x:v>
      </x:c>
      <x:c r="B163" s="18" t="str">
        <x:v>유성구</x:v>
      </x:c>
      <x:c r="C163" s="17" t="str">
        <x:v>상무초밥 유성점</x:v>
      </x:c>
      <x:c r="D163" s="17" t="str">
        <x:v>음식점&gt;일식&gt;초밥,롤</x:v>
      </x:c>
      <x:c r="E163" s="19" t="n">
        <x:v>55</x:v>
      </x:c>
      <x:c r="F163" s="17" t="str">
        <x:v>최근 12개월 블로그 100건</x:v>
      </x:c>
      <x:c r="G163" s="17" t="str">
        <x:v>대전광역시 유성구 봉명동 617-1 1층 106~110호</x:v>
      </x:c>
      <x:c r="H163" s="17" t="str">
        <x:v>대전광역시 유성구 대학로 44 1층 106~110호(봉명동)</x:v>
      </x:c>
      <x:c r="I163" s="18" t="e">
        <x:f>HYPERLINK("https://search.naver.com/search.naver?where=blog&amp;query=%EC%83%81%EB%AC%B4%EC%B4%88%EB%B0%A5+%EC%9C%A0%EC%84%B1%EC%A0%90+%EB%B4%89%EB%AA%85%EB%8F%99","블로그 보기")</x:f>
        <x:v>HYPERLINK is not implemented. linkLocation=https://search.naver.com/search.naver?where=blog&amp;query=%EC%83%81%EB%AC%B4%EC%B4%88%EB%B0%A5+%EC%9C%A0%EC%84%B1%EC%A0%90+%EB%B4%89%EB%AA%85%EB%8F%99, friendlyName=블로그 보기</x:v>
      </x:c>
      <x:c r="J163" s="18" t="e">
        <x:f>HYPERLINK("http://pf.kakao.com/_UxjxdCG","업체 보기")</x:f>
        <x:v>HYPERLINK is not implemented. linkLocation=http://pf.kakao.com/_UxjxdCG, friendlyName=업체 보기</x:v>
      </x:c>
      <x:c r="K163" s="18" t="str"/>
      <x:c r="L163" s="17" t="str"/>
      <x:c r="M163" s="20" t="n">
        <x:v>46220</x:v>
      </x:c>
      <x:c r="N163" s="21" t="n">
        <x:v>100</x:v>
      </x:c>
      <x:c r="O163" s="21" t="n">
        <x:v>98</x:v>
      </x:c>
      <x:c r="P163" s="21" t="n">
        <x:v>950</x:v>
      </x:c>
      <x:c r="Q163" s="21" t="n">
        <x:v>1</x:v>
      </x:c>
      <x:c r="R163" s="21" t="n">
        <x:v>1</x:v>
      </x:c>
      <x:c r="S163" s="17" t="str">
        <x:v>유성구 일식</x:v>
      </x:c>
      <x:c r="T163" s="22" t="n">
        <x:v>36.357487</x:v>
      </x:c>
      <x:c r="U163" s="22" t="n">
        <x:v>127.3432607</x:v>
      </x:c>
    </x:row>
    <x:row r="164" ht="32" customHeight="1">
      <x:c r="A164" s="18" t="str">
        <x:v>pending</x:v>
      </x:c>
      <x:c r="B164" s="18" t="str">
        <x:v>유성구</x:v>
      </x:c>
      <x:c r="C164" s="17" t="str">
        <x:v>소문난떡볶이</x:v>
      </x:c>
      <x:c r="D164" s="17" t="str">
        <x:v>분식&gt;떡볶이</x:v>
      </x:c>
      <x:c r="E164" s="19" t="n">
        <x:v>55</x:v>
      </x:c>
      <x:c r="F164" s="17" t="str">
        <x:v>최근 12개월 블로그 100건</x:v>
      </x:c>
      <x:c r="G164" s="17" t="str">
        <x:v>대전광역시 유성구 송강동 49-10</x:v>
      </x:c>
      <x:c r="H164" s="17" t="str">
        <x:v>대전광역시 유성구 구즉로 74-7</x:v>
      </x:c>
      <x:c r="I164" s="18" t="e">
        <x:f>HYPERLINK("https://search.naver.com/search.naver?where=blog&amp;query=%EC%86%8C%EB%AC%B8%EB%82%9C%EB%96%A1%EB%B3%B6%EC%9D%B4+%EC%9C%A0%EC%84%B1%EA%B5%AC","블로그 보기")</x:f>
        <x:v>HYPERLINK is not implemented. linkLocation=https://search.naver.com/search.naver?where=blog&amp;query=%EC%86%8C%EB%AC%B8%EB%82%9C%EB%96%A1%EB%B3%B6%EC%9D%B4+%EC%9C%A0%EC%84%B1%EA%B5%AC, friendlyName=블로그 보기</x:v>
      </x:c>
      <x:c r="J164" s="18" t="str"/>
      <x:c r="K164" s="18" t="str"/>
      <x:c r="L164" s="17" t="str"/>
      <x:c r="M164" s="20" t="n">
        <x:v>46222</x:v>
      </x:c>
      <x:c r="N164" s="21" t="n">
        <x:v>100</x:v>
      </x:c>
      <x:c r="O164" s="21" t="n">
        <x:v>96</x:v>
      </x:c>
      <x:c r="P164" s="21" t="n">
        <x:v>758</x:v>
      </x:c>
      <x:c r="Q164" s="21" t="n">
        <x:v>1</x:v>
      </x:c>
      <x:c r="R164" s="21" t="n">
        <x:v>1</x:v>
      </x:c>
      <x:c r="S164" s="17" t="str">
        <x:v>유성구 분식</x:v>
      </x:c>
      <x:c r="T164" s="22" t="n">
        <x:v>36.4351304</x:v>
      </x:c>
      <x:c r="U164" s="22" t="n">
        <x:v>127.3865033</x:v>
      </x:c>
    </x:row>
    <x:row r="165" ht="32" customHeight="1">
      <x:c r="A165" s="18" t="str">
        <x:v>pending</x:v>
      </x:c>
      <x:c r="B165" s="18" t="str">
        <x:v>유성구</x:v>
      </x:c>
      <x:c r="C165" s="17" t="str">
        <x:v>유성즉석떡볶이</x:v>
      </x:c>
      <x:c r="D165" s="17" t="str">
        <x:v>분식&gt;떡볶이</x:v>
      </x:c>
      <x:c r="E165" s="19" t="n">
        <x:v>55</x:v>
      </x:c>
      <x:c r="F165" s="17" t="str">
        <x:v>최근 12개월 블로그 100건</x:v>
      </x:c>
      <x:c r="G165" s="17" t="str">
        <x:v>대전광역시 유성구 원신흥동 551-8 1층</x:v>
      </x:c>
      <x:c r="H165" s="17" t="str">
        <x:v>대전광역시 유성구 동서대로735번길 104 1층</x:v>
      </x:c>
      <x:c r="I165" s="18" t="e">
        <x:f>HYPERLINK("https://search.naver.com/search.naver?where=blog&amp;query=%EC%9C%A0%EC%84%B1%EC%A6%89%EC%84%9D%EB%96%A1%EB%B3%B6%EC%9D%B4+%EC%9C%A0%EC%84%B1%EA%B5%AC","블로그 보기")</x:f>
        <x:v>HYPERLINK is not implemented. linkLocation=https://search.naver.com/search.naver?where=blog&amp;query=%EC%9C%A0%EC%84%B1%EC%A6%89%EC%84%9D%EB%96%A1%EB%B3%B6%EC%9D%B4+%EC%9C%A0%EC%84%B1%EA%B5%AC, friendlyName=블로그 보기</x:v>
      </x:c>
      <x:c r="J165" s="18" t="str"/>
      <x:c r="K165" s="18" t="str"/>
      <x:c r="L165" s="17" t="str"/>
      <x:c r="M165" s="20" t="n">
        <x:v>46220</x:v>
      </x:c>
      <x:c r="N165" s="21" t="n">
        <x:v>100</x:v>
      </x:c>
      <x:c r="O165" s="21" t="n">
        <x:v>94</x:v>
      </x:c>
      <x:c r="P165" s="21" t="n">
        <x:v>704</x:v>
      </x:c>
      <x:c r="Q165" s="21" t="n">
        <x:v>1</x:v>
      </x:c>
      <x:c r="R165" s="21" t="n">
        <x:v>1</x:v>
      </x:c>
      <x:c r="S165" s="17" t="str">
        <x:v>유성구 분식</x:v>
      </x:c>
      <x:c r="T165" s="22" t="n">
        <x:v>36.3345416</x:v>
      </x:c>
      <x:c r="U165" s="22" t="n">
        <x:v>127.3405796</x:v>
      </x:c>
    </x:row>
    <x:row r="166" ht="32" customHeight="1">
      <x:c r="A166" s="18" t="str">
        <x:v>pending</x:v>
      </x:c>
      <x:c r="B166" s="18" t="str">
        <x:v>유성구</x:v>
      </x:c>
      <x:c r="C166" s="17" t="str">
        <x:v>칼질만번짬뽕 유성노은역</x:v>
      </x:c>
      <x:c r="D166" s="17" t="str">
        <x:v>중식&gt;중식당</x:v>
      </x:c>
      <x:c r="E166" s="19" t="n">
        <x:v>55</x:v>
      </x:c>
      <x:c r="F166" s="17" t="str">
        <x:v>최근 12개월 블로그 100건</x:v>
      </x:c>
      <x:c r="G166" s="17" t="str">
        <x:v>대전광역시 유성구 지족동 901-1 105호</x:v>
      </x:c>
      <x:c r="H166" s="17" t="str">
        <x:v>대전광역시 유성구 은구비로 36 105호</x:v>
      </x:c>
      <x:c r="I166" s="18" t="e">
        <x:f>HYPERLINK("https://search.naver.com/search.naver?where=blog&amp;query=%EC%B9%BC%EC%A7%88%EB%A7%8C%EB%B2%88%EC%A7%AC%EB%BD%95+%EC%9C%A0%EC%84%B1%EB%85%B8%EC%9D%80%EC%97%AD+%EC%9C%A0%EC%84%B1%EA%B5%AC","블로그 보기")</x:f>
        <x:v>HYPERLINK is not implemented. linkLocation=https://search.naver.com/search.naver?where=blog&amp;query=%EC%B9%BC%EC%A7%88%EB%A7%8C%EB%B2%88%EC%A7%AC%EB%BD%95+%EC%9C%A0%EC%84%B1%EB%85%B8%EC%9D%80%EC%97%AD+%EC%9C%A0%EC%84%B1%EA%B5%AC, friendlyName=블로그 보기</x:v>
      </x:c>
      <x:c r="J166" s="18" t="str"/>
      <x:c r="K166" s="18" t="str"/>
      <x:c r="L166" s="17" t="str"/>
      <x:c r="M166" s="20" t="n">
        <x:v>46220</x:v>
      </x:c>
      <x:c r="N166" s="21" t="n">
        <x:v>100</x:v>
      </x:c>
      <x:c r="O166" s="21" t="n">
        <x:v>95</x:v>
      </x:c>
      <x:c r="P166" s="21" t="n">
        <x:v>638</x:v>
      </x:c>
      <x:c r="Q166" s="21" t="n">
        <x:v>1</x:v>
      </x:c>
      <x:c r="R166" s="21" t="n">
        <x:v>1</x:v>
      </x:c>
      <x:c r="S166" s="17" t="str">
        <x:v>유성구 중식</x:v>
      </x:c>
      <x:c r="T166" s="22" t="n">
        <x:v>36.3754821</x:v>
      </x:c>
      <x:c r="U166" s="22" t="n">
        <x:v>127.3189195</x:v>
      </x:c>
    </x:row>
    <x:row r="167" ht="32" customHeight="1">
      <x:c r="A167" s="18" t="str">
        <x:v>pending</x:v>
      </x:c>
      <x:c r="B167" s="18" t="str">
        <x:v>유성구</x:v>
      </x:c>
      <x:c r="C167" s="17" t="str">
        <x:v>퐁당샤브 유성점</x:v>
      </x:c>
      <x:c r="D167" s="17" t="str">
        <x:v>음식점&gt;일식&gt;샤브샤브</x:v>
      </x:c>
      <x:c r="E167" s="19" t="n">
        <x:v>55</x:v>
      </x:c>
      <x:c r="F167" s="17" t="str">
        <x:v>최근 12개월 블로그 100건</x:v>
      </x:c>
      <x:c r="G167" s="17" t="str">
        <x:v>대전광역시 유성구 봉명동 617-4 104, 105호</x:v>
      </x:c>
      <x:c r="H167" s="17" t="str">
        <x:v>대전광역시 유성구 온천북로 7 104, 105호</x:v>
      </x:c>
      <x:c r="I167" s="18" t="e">
        <x:f>HYPERLINK("https://search.naver.com/search.naver?where=blog&amp;query=%ED%90%81%EB%8B%B9%EC%83%A4%EB%B8%8C+%EC%9C%A0%EC%84%B1%EC%A0%90+%EC%9C%A0%EC%84%B1%EA%B5%AC","블로그 보기")</x:f>
        <x:v>HYPERLINK is not implemented. linkLocation=https://search.naver.com/search.naver?where=blog&amp;query=%ED%90%81%EB%8B%B9%EC%83%A4%EB%B8%8C+%EC%9C%A0%EC%84%B1%EC%A0%90+%EC%9C%A0%EC%84%B1%EA%B5%AC, friendlyName=블로그 보기</x:v>
      </x:c>
      <x:c r="J167" s="18" t="e">
        <x:f>HYPERLINK("https://www.pongdangshabu.co.kr","업체 보기")</x:f>
        <x:v>HYPERLINK is not implemented. linkLocation=https://www.pongdangshabu.co.kr, friendlyName=업체 보기</x:v>
      </x:c>
      <x:c r="K167" s="18" t="str"/>
      <x:c r="L167" s="17" t="str"/>
      <x:c r="M167" s="20" t="n">
        <x:v>46223</x:v>
      </x:c>
      <x:c r="N167" s="21" t="n">
        <x:v>100</x:v>
      </x:c>
      <x:c r="O167" s="21" t="n">
        <x:v>98</x:v>
      </x:c>
      <x:c r="P167" s="21" t="n">
        <x:v>908</x:v>
      </x:c>
      <x:c r="Q167" s="21" t="n">
        <x:v>1</x:v>
      </x:c>
      <x:c r="R167" s="21" t="n">
        <x:v>1</x:v>
      </x:c>
      <x:c r="S167" s="17" t="str">
        <x:v>유성구 일식</x:v>
      </x:c>
      <x:c r="T167" s="22" t="n">
        <x:v>36.357374</x:v>
      </x:c>
      <x:c r="U167" s="22" t="n">
        <x:v>127.3438454</x:v>
      </x:c>
    </x:row>
    <x:row r="168" ht="32" customHeight="1">
      <x:c r="A168" s="18" t="str">
        <x:v>pending</x:v>
      </x:c>
      <x:c r="B168" s="18" t="str">
        <x:v>유성구</x:v>
      </x:c>
      <x:c r="C168" s="17" t="str">
        <x:v>푸고 대전관평점</x:v>
      </x:c>
      <x:c r="D168" s="17" t="str">
        <x:v>음식점&gt;한식</x:v>
      </x:c>
      <x:c r="E168" s="19" t="n">
        <x:v>55</x:v>
      </x:c>
      <x:c r="F168" s="17" t="str">
        <x:v>지역성: 대전; 최근 12개월 블로그 100건</x:v>
      </x:c>
      <x:c r="G168" s="17" t="str">
        <x:v>대전광역시 유성구 관평동 957 2층</x:v>
      </x:c>
      <x:c r="H168" s="17" t="str">
        <x:v>대전광역시 유성구 테크노중앙로 66 2층</x:v>
      </x:c>
      <x:c r="I168" s="18" t="e">
        <x:f>HYPERLINK("https://search.naver.com/search.naver?where=blog&amp;query=%ED%91%B8%EA%B3%A0+%EB%8C%80%EC%A0%84%EA%B4%80%ED%8F%89%EC%A0%90+%EC%9C%A0%EC%84%B1%EA%B5%AC","블로그 보기")</x:f>
        <x:v>HYPERLINK is not implemented. linkLocation=https://search.naver.com/search.naver?where=blog&amp;query=%ED%91%B8%EA%B3%A0+%EB%8C%80%EC%A0%84%EA%B4%80%ED%8F%89%EC%A0%90+%EC%9C%A0%EC%84%B1%EA%B5%AC, friendlyName=블로그 보기</x:v>
      </x:c>
      <x:c r="J168" s="18" t="str"/>
      <x:c r="K168" s="18" t="str"/>
      <x:c r="L168" s="17" t="str"/>
      <x:c r="M168" s="20" t="n">
        <x:v>46219</x:v>
      </x:c>
      <x:c r="N168" s="21" t="n">
        <x:v>100</x:v>
      </x:c>
      <x:c r="O168" s="21" t="n">
        <x:v>99</x:v>
      </x:c>
      <x:c r="P168" s="21" t="n">
        <x:v>125</x:v>
      </x:c>
      <x:c r="Q168" s="21" t="n">
        <x:v>1</x:v>
      </x:c>
      <x:c r="R168" s="21" t="n">
        <x:v>0</x:v>
      </x:c>
      <x:c r="S168" s="17" t="str">
        <x:v>유성구 한식</x:v>
      </x:c>
      <x:c r="T168" s="22" t="n">
        <x:v>36.425616</x:v>
      </x:c>
      <x:c r="U168" s="22" t="n">
        <x:v>127.3924196</x:v>
      </x:c>
    </x:row>
    <x:row r="169" ht="32" customHeight="1">
      <x:c r="A169" s="18" t="str">
        <x:v>pending</x:v>
      </x:c>
      <x:c r="B169" s="18" t="str">
        <x:v>유성구</x:v>
      </x:c>
      <x:c r="C169" s="17" t="str">
        <x:v>호텔 오노마 타운하우스</x:v>
      </x:c>
      <x:c r="D169" s="17" t="str">
        <x:v>음식점&gt;뷔페</x:v>
      </x:c>
      <x:c r="E169" s="19" t="n">
        <x:v>55</x:v>
      </x:c>
      <x:c r="F169" s="17" t="str">
        <x:v>최근 12개월 블로그 100건</x:v>
      </x:c>
      <x:c r="G169" s="17" t="str">
        <x:v>대전광역시 유성구 도룡동 3-1 7층 타운하우스</x:v>
      </x:c>
      <x:c r="H169" s="17" t="str">
        <x:v>대전광역시 유성구 엑스포로 1 7층 타운하우스</x:v>
      </x:c>
      <x:c r="I169" s="18" t="e">
        <x:f>HYPERLINK("https://search.naver.com/search.naver?where=blog&amp;query=%ED%98%B8%ED%85%94+%EC%98%A4%EB%85%B8%EB%A7%88+%ED%83%80%EC%9A%B4%ED%95%98%EC%9A%B0%EC%8A%A4+%EC%9C%A0%EC%84%B1%EA%B5%AC","블로그 보기")</x:f>
        <x:v>HYPERLINK is not implemented. linkLocation=https://search.naver.com/search.naver?where=blog&amp;query=%ED%98%B8%ED%85%94+%EC%98%A4%EB%85%B8%EB%A7%88+%ED%83%80%EC%9A%B4%ED%95%98%EC%9A%B0%EC%8A%A4+%EC%9C%A0%EC%84%B1%EA%B5%AC, friendlyName=블로그 보기</x:v>
      </x:c>
      <x:c r="J169" s="18" t="e">
        <x:f>HYPERLINK("https://www.instagram.com/hotelonoma","업체 보기")</x:f>
        <x:v>HYPERLINK is not implemented. linkLocation=https://www.instagram.com/hotelonoma, friendlyName=업체 보기</x:v>
      </x:c>
      <x:c r="K169" s="18" t="str"/>
      <x:c r="L169" s="17" t="str"/>
      <x:c r="M169" s="20" t="n">
        <x:v>46221</x:v>
      </x:c>
      <x:c r="N169" s="21" t="n">
        <x:v>100</x:v>
      </x:c>
      <x:c r="O169" s="21" t="n">
        <x:v>95</x:v>
      </x:c>
      <x:c r="P169" s="21" t="n">
        <x:v>624</x:v>
      </x:c>
      <x:c r="Q169" s="21" t="n">
        <x:v>1</x:v>
      </x:c>
      <x:c r="R169" s="21" t="n">
        <x:v>1</x:v>
      </x:c>
      <x:c r="S169" s="17" t="str">
        <x:v>유성구 중식</x:v>
      </x:c>
      <x:c r="T169" s="22" t="n">
        <x:v>36.3748906</x:v>
      </x:c>
      <x:c r="U169" s="22" t="n">
        <x:v>127.3833412</x:v>
      </x:c>
    </x:row>
    <x:row r="170" ht="32" customHeight="1">
      <x:c r="A170" s="18" t="str">
        <x:v>pending</x:v>
      </x:c>
      <x:c r="B170" s="18" t="str">
        <x:v>유성구</x:v>
      </x:c>
      <x:c r="C170" s="17" t="str">
        <x:v>상하이양꼬치양갈비 관평점</x:v>
      </x:c>
      <x:c r="D170" s="17" t="str">
        <x:v>중식&gt;양꼬치</x:v>
      </x:c>
      <x:c r="E170" s="19" t="n">
        <x:v>54</x:v>
      </x:c>
      <x:c r="F170" s="17" t="str">
        <x:v>최근 12개월 블로그 100건</x:v>
      </x:c>
      <x:c r="G170" s="17" t="str">
        <x:v>대전광역시 유성구 관평동 1081</x:v>
      </x:c>
      <x:c r="H170" s="17" t="str">
        <x:v>대전광역시 유성구 관들2길 72-9</x:v>
      </x:c>
      <x:c r="I170" s="18" t="e">
        <x:f>HYPERLINK("https://search.naver.com/search.naver?where=blog&amp;query=%EC%83%81%ED%95%98%EC%9D%B4%EC%96%91%EA%BC%AC%EC%B9%98%EC%96%91%EA%B0%88%EB%B9%84+%EA%B4%80%ED%8F%89%EC%A0%90+%EC%9C%A0%EC%84%B1%EA%B5%AC","블로그 보기")</x:f>
        <x:v>HYPERLINK is not implemented. linkLocation=https://search.naver.com/search.naver?where=blog&amp;query=%EC%83%81%ED%95%98%EC%9D%B4%EC%96%91%EA%BC%AC%EC%B9%98%EC%96%91%EA%B0%88%EB%B9%84+%EA%B4%80%ED%8F%89%EC%A0%90+%EC%9C%A0%EC%84%B1%EA%B5%AC, friendlyName=블로그 보기</x:v>
      </x:c>
      <x:c r="J170" s="18" t="str"/>
      <x:c r="K170" s="18" t="str"/>
      <x:c r="L170" s="17" t="str"/>
      <x:c r="M170" s="20" t="n">
        <x:v>46222</x:v>
      </x:c>
      <x:c r="N170" s="21" t="n">
        <x:v>100</x:v>
      </x:c>
      <x:c r="O170" s="21" t="n">
        <x:v>100</x:v>
      </x:c>
      <x:c r="P170" s="21" t="n">
        <x:v>3571</x:v>
      </x:c>
      <x:c r="Q170" s="21" t="n">
        <x:v>1</x:v>
      </x:c>
      <x:c r="R170" s="21" t="n">
        <x:v>0</x:v>
      </x:c>
      <x:c r="S170" s="17" t="str">
        <x:v>유성구 맛집</x:v>
      </x:c>
      <x:c r="T170" s="22" t="n">
        <x:v>36.4243037</x:v>
      </x:c>
      <x:c r="U170" s="22" t="n">
        <x:v>127.3919156</x:v>
      </x:c>
    </x:row>
    <x:row r="171" ht="32" customHeight="1">
      <x:c r="A171" s="18" t="str">
        <x:v>pending</x:v>
      </x:c>
      <x:c r="B171" s="18" t="str">
        <x:v>유성구</x:v>
      </x:c>
      <x:c r="C171" s="17" t="str">
        <x:v>유씨네본가누룽지삼계탕 유성점</x:v>
      </x:c>
      <x:c r="D171" s="17" t="str">
        <x:v>한식&gt;백숙,삼계탕</x:v>
      </x:c>
      <x:c r="E171" s="19" t="n">
        <x:v>54</x:v>
      </x:c>
      <x:c r="F171" s="17" t="str">
        <x:v>최근 12개월 블로그 100건</x:v>
      </x:c>
      <x:c r="G171" s="17" t="str">
        <x:v>대전광역시 유성구 장대동 281-23 1층</x:v>
      </x:c>
      <x:c r="H171" s="17" t="str">
        <x:v>대전광역시 유성구 장대로 50 1층</x:v>
      </x:c>
      <x:c r="I171" s="18" t="e">
        <x:f>HYPERLINK("https://search.naver.com/search.naver?where=blog&amp;query=%EC%9C%A0%EC%94%A8%EB%84%A4%EB%B3%B8%EA%B0%80%EB%88%84%EB%A3%BD%EC%A7%80%EC%82%BC%EA%B3%84%ED%83%95+%EC%9C%A0%EC%84%B1%EC%A0%90+%EC%9C%A0%EC%84%B1%EA%B5%AC","블로그 보기")</x:f>
        <x:v>HYPERLINK is not implemented. linkLocation=https://search.naver.com/search.naver?where=blog&amp;query=%EC%9C%A0%EC%94%A8%EB%84%A4%EB%B3%B8%EA%B0%80%EB%88%84%EB%A3%BD%EC%A7%80%EC%82%BC%EA%B3%84%ED%83%95+%EC%9C%A0%EC%84%B1%EC%A0%90+%EC%9C%A0%EC%84%B1%EA%B5%AC, friendlyName=블로그 보기</x:v>
      </x:c>
      <x:c r="J171" s="18" t="str"/>
      <x:c r="K171" s="18" t="str"/>
      <x:c r="L171" s="17" t="str"/>
      <x:c r="M171" s="20" t="n">
        <x:v>46221</x:v>
      </x:c>
      <x:c r="N171" s="21" t="n">
        <x:v>100</x:v>
      </x:c>
      <x:c r="O171" s="21" t="n">
        <x:v>98</x:v>
      </x:c>
      <x:c r="P171" s="21" t="n">
        <x:v>207</x:v>
      </x:c>
      <x:c r="Q171" s="21" t="n">
        <x:v>2</x:v>
      </x:c>
      <x:c r="R171" s="21" t="n">
        <x:v>0</x:v>
      </x:c>
      <x:c r="S171" s="17" t="str">
        <x:v>유성구 맛집 | 유성구 한식</x:v>
      </x:c>
      <x:c r="T171" s="22" t="n">
        <x:v>36.3596236</x:v>
      </x:c>
      <x:c r="U171" s="22" t="n">
        <x:v>127.3363168</x:v>
      </x:c>
    </x:row>
    <x:row r="172" ht="32" customHeight="1">
      <x:c r="A172" s="18" t="str">
        <x:v>pending</x:v>
      </x:c>
      <x:c r="B172" s="18" t="str">
        <x:v>유성구</x:v>
      </x:c>
      <x:c r="C172" s="17" t="str">
        <x:v>대박푸드</x:v>
      </x:c>
      <x:c r="D172" s="17" t="str">
        <x:v>분식&gt;종합분식</x:v>
      </x:c>
      <x:c r="E172" s="19" t="n">
        <x:v>53</x:v>
      </x:c>
      <x:c r="F172" s="17" t="str">
        <x:v>최근 12개월 블로그 100건</x:v>
      </x:c>
      <x:c r="G172" s="17" t="str">
        <x:v>대전광역시 유성구 관평동 1097 1층</x:v>
      </x:c>
      <x:c r="H172" s="17" t="str">
        <x:v>대전광역시 유성구 관들2길 72-2 1층</x:v>
      </x:c>
      <x:c r="I172" s="18" t="e">
        <x:f>HYPERLINK("https://search.naver.com/search.naver?where=blog&amp;query=%EB%8C%80%EB%B0%95%ED%91%B8%EB%93%9C+%EC%9C%A0%EC%84%B1%EA%B5%AC","블로그 보기")</x:f>
        <x:v>HYPERLINK is not implemented. linkLocation=https://search.naver.com/search.naver?where=blog&amp;query=%EB%8C%80%EB%B0%95%ED%91%B8%EB%93%9C+%EC%9C%A0%EC%84%B1%EA%B5%AC, friendlyName=블로그 보기</x:v>
      </x:c>
      <x:c r="J172" s="18" t="str"/>
      <x:c r="K172" s="18" t="str"/>
      <x:c r="L172" s="17" t="str"/>
      <x:c r="M172" s="20" t="n">
        <x:v>46222</x:v>
      </x:c>
      <x:c r="N172" s="21" t="n">
        <x:v>100</x:v>
      </x:c>
      <x:c r="O172" s="21" t="n">
        <x:v>91</x:v>
      </x:c>
      <x:c r="P172" s="21" t="n">
        <x:v>1185</x:v>
      </x:c>
      <x:c r="Q172" s="21" t="n">
        <x:v>1</x:v>
      </x:c>
      <x:c r="R172" s="21" t="n">
        <x:v>0</x:v>
      </x:c>
      <x:c r="S172" s="17" t="str">
        <x:v>유성구 분식</x:v>
      </x:c>
      <x:c r="T172" s="22" t="n">
        <x:v>36.4242771</x:v>
      </x:c>
      <x:c r="U172" s="22" t="n">
        <x:v>127.3925032</x:v>
      </x:c>
    </x:row>
    <x:row r="173" ht="32" customHeight="1">
      <x:c r="A173" s="18" t="str">
        <x:v>pending</x:v>
      </x:c>
      <x:c r="B173" s="18" t="str">
        <x:v>유성구</x:v>
      </x:c>
      <x:c r="C173" s="17" t="str">
        <x:v>두레정얼큰한칼국수</x:v>
      </x:c>
      <x:c r="D173" s="17" t="str">
        <x:v>음식점&gt;한식</x:v>
      </x:c>
      <x:c r="E173" s="19" t="n">
        <x:v>53</x:v>
      </x:c>
      <x:c r="F173" s="17" t="str">
        <x:v>지역성: 칼국수; 최근 12개월 블로그 17건</x:v>
      </x:c>
      <x:c r="G173" s="17" t="str">
        <x:v>대전광역시 유성구 장대동 369-9 1층</x:v>
      </x:c>
      <x:c r="H173" s="17" t="str">
        <x:v>대전광역시 유성구 유성대로736번길 96 1층</x:v>
      </x:c>
      <x:c r="I173" s="18" t="e">
        <x:f>HYPERLINK("https://search.naver.com/search.naver?where=blog&amp;query=%EB%91%90%EB%A0%88%EC%A0%95%EC%96%BC%ED%81%B0%ED%95%9C%EC%B9%BC%EA%B5%AD%EC%88%98+%EC%9C%A0%EC%84%B1%EA%B5%AC","블로그 보기")</x:f>
        <x:v>HYPERLINK is not implemented. linkLocation=https://search.naver.com/search.naver?where=blog&amp;query=%EB%91%90%EB%A0%88%EC%A0%95%EC%96%BC%ED%81%B0%ED%95%9C%EC%B9%BC%EA%B5%AD%EC%88%98+%EC%9C%A0%EC%84%B1%EA%B5%AC, friendlyName=블로그 보기</x:v>
      </x:c>
      <x:c r="J173" s="18" t="str"/>
      <x:c r="K173" s="18" t="str"/>
      <x:c r="L173" s="17" t="str"/>
      <x:c r="M173" s="20" t="n">
        <x:v>46198</x:v>
      </x:c>
      <x:c r="N173" s="21" t="n">
        <x:v>17</x:v>
      </x:c>
      <x:c r="O173" s="21" t="n">
        <x:v>27</x:v>
      </x:c>
      <x:c r="P173" s="21" t="n">
        <x:v>28</x:v>
      </x:c>
      <x:c r="Q173" s="21" t="n">
        <x:v>1</x:v>
      </x:c>
      <x:c r="R173" s="21" t="n">
        <x:v>0</x:v>
      </x:c>
      <x:c r="S173" s="17" t="str">
        <x:v>어은동 두부두루치기</x:v>
      </x:c>
      <x:c r="T173" s="22" t="n">
        <x:v>36.3586128</x:v>
      </x:c>
      <x:c r="U173" s="22" t="n">
        <x:v>127.3390259</x:v>
      </x:c>
    </x:row>
    <x:row r="174" ht="32" customHeight="1">
      <x:c r="A174" s="18" t="str">
        <x:v>pending</x:v>
      </x:c>
      <x:c r="B174" s="18" t="str">
        <x:v>유성구</x:v>
      </x:c>
      <x:c r="C174" s="17" t="str">
        <x:v>베네파스타하우스</x:v>
      </x:c>
      <x:c r="D174" s="17" t="str">
        <x:v>음식점&gt;양식</x:v>
      </x:c>
      <x:c r="E174" s="19" t="n">
        <x:v>53</x:v>
      </x:c>
      <x:c r="F174" s="17" t="str">
        <x:v>최근 12개월 블로그 27건</x:v>
      </x:c>
      <x:c r="G174" s="17" t="str">
        <x:v>대전광역시 유성구 어은동 112-13 베네파스타 하우스</x:v>
      </x:c>
      <x:c r="H174" s="17" t="str">
        <x:v>대전광역시 유성구 어은로42번길 21-14 베네파스타 하우스</x:v>
      </x:c>
      <x:c r="I174" s="18" t="e">
        <x:f>HYPERLINK("https://search.naver.com/search.naver?where=blog&amp;query=%EB%B2%A0%EB%84%A4%ED%8C%8C%EC%8A%A4%ED%83%80%ED%95%98%EC%9A%B0%EC%8A%A4+%EC%9C%A0%EC%84%B1%EA%B5%AC","블로그 보기")</x:f>
        <x:v>HYPERLINK is not implemented. linkLocation=https://search.naver.com/search.naver?where=blog&amp;query=%EB%B2%A0%EB%84%A4%ED%8C%8C%EC%8A%A4%ED%83%80%ED%95%98%EC%9A%B0%EC%8A%A4+%EC%9C%A0%EC%84%B1%EA%B5%AC, friendlyName=블로그 보기</x:v>
      </x:c>
      <x:c r="J174" s="18" t="e">
        <x:f>HYPERLINK("https://www.instagram.com/benepastahouse","업체 보기")</x:f>
        <x:v>HYPERLINK is not implemented. linkLocation=https://www.instagram.com/benepastahouse, friendlyName=업체 보기</x:v>
      </x:c>
      <x:c r="K174" s="18" t="str"/>
      <x:c r="L174" s="17" t="str"/>
      <x:c r="M174" s="20" t="n">
        <x:v>46187</x:v>
      </x:c>
      <x:c r="N174" s="21" t="n">
        <x:v>27</x:v>
      </x:c>
      <x:c r="O174" s="21" t="n">
        <x:v>90</x:v>
      </x:c>
      <x:c r="P174" s="21" t="n">
        <x:v>100</x:v>
      </x:c>
      <x:c r="Q174" s="21" t="n">
        <x:v>1</x:v>
      </x:c>
      <x:c r="R174" s="21" t="n">
        <x:v>1</x:v>
      </x:c>
      <x:c r="S174" s="17" t="str">
        <x:v>어은동 맛집</x:v>
      </x:c>
      <x:c r="T174" s="22" t="n">
        <x:v>36.3637214</x:v>
      </x:c>
      <x:c r="U174" s="22" t="n">
        <x:v>127.3586105</x:v>
      </x:c>
    </x:row>
    <x:row r="175" ht="32" customHeight="1">
      <x:c r="A175" s="18" t="str">
        <x:v>pending</x:v>
      </x:c>
      <x:c r="B175" s="18" t="str">
        <x:v>유성구</x:v>
      </x:c>
      <x:c r="C175" s="17" t="str">
        <x:v>샤브향 관평점</x:v>
      </x:c>
      <x:c r="D175" s="17" t="str">
        <x:v>음식점&gt;일식&gt;샤브샤브</x:v>
      </x:c>
      <x:c r="E175" s="19" t="n">
        <x:v>53</x:v>
      </x:c>
      <x:c r="F175" s="17" t="str">
        <x:v>최근 12개월 블로그 61건</x:v>
      </x:c>
      <x:c r="G175" s="17" t="str">
        <x:v>대전광역시 유성구 관평동 798 에이스타워</x:v>
      </x:c>
      <x:c r="H175" s="17" t="str">
        <x:v>대전광역시 유성구 테크노중앙로 55 에이스타워</x:v>
      </x:c>
      <x:c r="I175" s="18" t="e">
        <x:f>HYPERLINK("https://search.naver.com/search.naver?where=blog&amp;query=%EC%83%A4%EB%B8%8C%ED%96%A5+%EA%B4%80%ED%8F%89%EC%A0%90+%EC%9C%A0%EC%84%B1%EA%B5%AC","블로그 보기")</x:f>
        <x:v>HYPERLINK is not implemented. linkLocation=https://search.naver.com/search.naver?where=blog&amp;query=%EC%83%A4%EB%B8%8C%ED%96%A5+%EA%B4%80%ED%8F%89%EC%A0%90+%EC%9C%A0%EC%84%B1%EA%B5%AC, friendlyName=블로그 보기</x:v>
      </x:c>
      <x:c r="J175" s="18" t="e">
        <x:f>HYPERLINK("http://instagram.com/hong_jeemin","업체 보기")</x:f>
        <x:v>HYPERLINK is not implemented. linkLocation=http://instagram.com/hong_jeemin, friendlyName=업체 보기</x:v>
      </x:c>
      <x:c r="K175" s="18" t="str"/>
      <x:c r="L175" s="17" t="str"/>
      <x:c r="M175" s="20" t="n">
        <x:v>46218</x:v>
      </x:c>
      <x:c r="N175" s="21" t="n">
        <x:v>61</x:v>
      </x:c>
      <x:c r="O175" s="21" t="n">
        <x:v>94</x:v>
      </x:c>
      <x:c r="P175" s="21" t="n">
        <x:v>180</x:v>
      </x:c>
      <x:c r="Q175" s="21" t="n">
        <x:v>1</x:v>
      </x:c>
      <x:c r="R175" s="21" t="n">
        <x:v>1</x:v>
      </x:c>
      <x:c r="S175" s="17" t="str">
        <x:v>유성구 칼국수</x:v>
      </x:c>
      <x:c r="T175" s="22" t="n">
        <x:v>36.4263716</x:v>
      </x:c>
      <x:c r="U175" s="22" t="n">
        <x:v>127.3917526</x:v>
      </x:c>
    </x:row>
    <x:row r="176" ht="32" customHeight="1">
      <x:c r="A176" s="18" t="str">
        <x:v>pending</x:v>
      </x:c>
      <x:c r="B176" s="18" t="str">
        <x:v>유성구</x:v>
      </x:c>
      <x:c r="C176" s="17" t="str">
        <x:v>유성 솥뚜껑 본가 수피아</x:v>
      </x:c>
      <x:c r="D176" s="17" t="str">
        <x:v>한식&gt;닭볶음탕</x:v>
      </x:c>
      <x:c r="E176" s="19" t="n">
        <x:v>53</x:v>
      </x:c>
      <x:c r="F176" s="17" t="str">
        <x:v>최근 12개월 블로그 64건</x:v>
      </x:c>
      <x:c r="G176" s="17" t="str">
        <x:v>대전광역시 유성구 갑동 402-3 1층 2층</x:v>
      </x:c>
      <x:c r="H176" s="17" t="str">
        <x:v>대전광역시 유성구 갑동로15번길 53 1층 2층</x:v>
      </x:c>
      <x:c r="I176" s="18" t="e">
        <x:f>HYPERLINK("https://search.naver.com/search.naver?where=blog&amp;query=%EC%9C%A0%EC%84%B1+%EC%86%A5%EB%9A%9C%EA%BB%91+%EB%B3%B8%EA%B0%80+%EC%88%98%ED%94%BC%EC%95%84+%EA%B0%91%EB%8F%99","블로그 보기")</x:f>
        <x:v>HYPERLINK is not implemented. linkLocation=https://search.naver.com/search.naver?where=blog&amp;query=%EC%9C%A0%EC%84%B1+%EC%86%A5%EB%9A%9C%EA%BB%91+%EB%B3%B8%EA%B0%80+%EC%88%98%ED%94%BC%EC%95%84+%EA%B0%91%EB%8F%99, friendlyName=블로그 보기</x:v>
      </x:c>
      <x:c r="J176" s="18" t="e">
        <x:f>HYPERLINK("https://www.instagram.com/han_supia","업체 보기")</x:f>
        <x:v>HYPERLINK is not implemented. linkLocation=https://www.instagram.com/han_supia, friendlyName=업체 보기</x:v>
      </x:c>
      <x:c r="K176" s="18" t="str"/>
      <x:c r="L176" s="17" t="str"/>
      <x:c r="M176" s="20" t="n">
        <x:v>46222</x:v>
      </x:c>
      <x:c r="N176" s="21" t="n">
        <x:v>64</x:v>
      </x:c>
      <x:c r="O176" s="21" t="n">
        <x:v>96</x:v>
      </x:c>
      <x:c r="P176" s="21" t="n">
        <x:v>108</x:v>
      </x:c>
      <x:c r="Q176" s="21" t="n">
        <x:v>1</x:v>
      </x:c>
      <x:c r="R176" s="21" t="n">
        <x:v>1</x:v>
      </x:c>
      <x:c r="S176" s="17" t="str">
        <x:v>유성구 삼계탕</x:v>
      </x:c>
      <x:c r="T176" s="22" t="n">
        <x:v>36.3621827</x:v>
      </x:c>
      <x:c r="U176" s="22" t="n">
        <x:v>127.2865852</x:v>
      </x:c>
    </x:row>
    <x:row r="177" ht="32" customHeight="1">
      <x:c r="A177" s="18" t="str">
        <x:v>pending</x:v>
      </x:c>
      <x:c r="B177" s="18" t="str">
        <x:v>유성구</x:v>
      </x:c>
      <x:c r="C177" s="17" t="str">
        <x:v>초심 대전신성점</x:v>
      </x:c>
      <x:c r="D177" s="17" t="str">
        <x:v>중식&gt;중식당</x:v>
      </x:c>
      <x:c r="E177" s="19" t="n">
        <x:v>53</x:v>
      </x:c>
      <x:c r="F177" s="17" t="str">
        <x:v>지역성: 대전; 최근 12개월 블로그 24건</x:v>
      </x:c>
      <x:c r="G177" s="17" t="str">
        <x:v>대전광역시 유성구 신성동 122-3 지상1층</x:v>
      </x:c>
      <x:c r="H177" s="17" t="str">
        <x:v>대전광역시 유성구 신성로 95 지상1층</x:v>
      </x:c>
      <x:c r="I177" s="18" t="e">
        <x:f>HYPERLINK("https://search.naver.com/search.naver?where=blog&amp;query=%EC%B4%88%EC%8B%AC+%EB%8C%80%EC%A0%84%EC%8B%A0%EC%84%B1%EC%A0%90+%EC%9C%A0%EC%84%B1%EA%B5%AC","블로그 보기")</x:f>
        <x:v>HYPERLINK is not implemented. linkLocation=https://search.naver.com/search.naver?where=blog&amp;query=%EC%B4%88%EC%8B%AC+%EB%8C%80%EC%A0%84%EC%8B%A0%EC%84%B1%EC%A0%90+%EC%9C%A0%EC%84%B1%EA%B5%AC, friendlyName=블로그 보기</x:v>
      </x:c>
      <x:c r="J177" s="18" t="str"/>
      <x:c r="K177" s="18" t="str"/>
      <x:c r="L177" s="17" t="str"/>
      <x:c r="M177" s="20" t="n">
        <x:v>46215</x:v>
      </x:c>
      <x:c r="N177" s="21" t="n">
        <x:v>24</x:v>
      </x:c>
      <x:c r="O177" s="21" t="n">
        <x:v>36</x:v>
      </x:c>
      <x:c r="P177" s="21" t="n">
        <x:v>37</x:v>
      </x:c>
      <x:c r="Q177" s="21" t="n">
        <x:v>1</x:v>
      </x:c>
      <x:c r="R177" s="21" t="n">
        <x:v>0</x:v>
      </x:c>
      <x:c r="S177" s="17" t="str">
        <x:v>유성구 중식</x:v>
      </x:c>
      <x:c r="T177" s="22" t="n">
        <x:v>36.3915794</x:v>
      </x:c>
      <x:c r="U177" s="22" t="n">
        <x:v>127.350045</x:v>
      </x:c>
    </x:row>
    <x:row r="178" ht="32" customHeight="1">
      <x:c r="A178" s="18" t="str">
        <x:v>pending</x:v>
      </x:c>
      <x:c r="B178" s="18" t="str">
        <x:v>유성구</x:v>
      </x:c>
      <x:c r="C178" s="17" t="str">
        <x:v>평화로운집 대전봉명점</x:v>
      </x:c>
      <x:c r="D178" s="17" t="str">
        <x:v>술집&gt;요리주점</x:v>
      </x:c>
      <x:c r="E178" s="19" t="n">
        <x:v>53</x:v>
      </x:c>
      <x:c r="F178" s="17" t="str">
        <x:v>지역성: 대전; 최근 12개월 블로그 24건</x:v>
      </x:c>
      <x:c r="G178" s="17" t="str">
        <x:v>대전광역시 유성구 봉명동 612-3 1층 117호</x:v>
      </x:c>
      <x:c r="H178" s="17" t="str">
        <x:v>대전광역시 유성구 대학로 60 1층 117호</x:v>
      </x:c>
      <x:c r="I178" s="18" t="e">
        <x:f>HYPERLINK("https://search.naver.com/search.naver?where=blog&amp;query=%ED%8F%89%ED%99%94%EB%A1%9C%EC%9A%B4%EC%A7%91+%EB%8C%80%EC%A0%84%EB%B4%89%EB%AA%85%EC%A0%90+%EC%9C%A0%EC%84%B1%EA%B5%AC","블로그 보기")</x:f>
        <x:v>HYPERLINK is not implemented. linkLocation=https://search.naver.com/search.naver?where=blog&amp;query=%ED%8F%89%ED%99%94%EB%A1%9C%EC%9A%B4%EC%A7%91+%EB%8C%80%EC%A0%84%EB%B4%89%EB%AA%85%EC%A0%90+%EC%9C%A0%EC%84%B1%EA%B5%AC, friendlyName=블로그 보기</x:v>
      </x:c>
      <x:c r="J178" s="18" t="e">
        <x:f>HYPERLINK("https://www.instagram.com/pyeonghwarounjip?igsh=MXN4NGdvMm04Y2h2dQ==","업체 보기")</x:f>
        <x:v>HYPERLINK is not implemented. linkLocation=https://www.instagram.com/pyeonghwarounjip?igsh=MXN4NGdvMm04Y2h2dQ==, friendlyName=업체 보기</x:v>
      </x:c>
      <x:c r="K178" s="18" t="str"/>
      <x:c r="L178" s="17" t="str"/>
      <x:c r="M178" s="20" t="n">
        <x:v>46140</x:v>
      </x:c>
      <x:c r="N178" s="21" t="n">
        <x:v>24</x:v>
      </x:c>
      <x:c r="O178" s="21" t="n">
        <x:v>37</x:v>
      </x:c>
      <x:c r="P178" s="21" t="n">
        <x:v>37</x:v>
      </x:c>
      <x:c r="Q178" s="21" t="n">
        <x:v>1</x:v>
      </x:c>
      <x:c r="R178" s="21" t="n">
        <x:v>0</x:v>
      </x:c>
      <x:c r="S178" s="17" t="str">
        <x:v>유성구 해산물</x:v>
      </x:c>
      <x:c r="T178" s="22" t="n">
        <x:v>36.3587444</x:v>
      </x:c>
      <x:c r="U178" s="22" t="n">
        <x:v>127.344239</x:v>
      </x:c>
    </x:row>
    <x:row r="179" ht="32" customHeight="1">
      <x:c r="A179" s="18" t="str">
        <x:v>pending</x:v>
      </x:c>
      <x:c r="B179" s="18" t="str">
        <x:v>유성구</x:v>
      </x:c>
      <x:c r="C179" s="17" t="str">
        <x:v>한마음정육식당 어은점</x:v>
      </x:c>
      <x:c r="D179" s="17" t="str">
        <x:v>음식점&gt;한식&gt;육류,고기요리</x:v>
      </x:c>
      <x:c r="E179" s="19" t="n">
        <x:v>53</x:v>
      </x:c>
      <x:c r="F179" s="17" t="str">
        <x:v>최근 12개월 블로그 100건</x:v>
      </x:c>
      <x:c r="G179" s="17" t="str">
        <x:v>대전광역시 유성구 어은동 115-1 1층</x:v>
      </x:c>
      <x:c r="H179" s="17" t="str">
        <x:v>대전광역시 유성구 어은로 46 1층</x:v>
      </x:c>
      <x:c r="I179" s="18" t="e">
        <x:f>HYPERLINK("https://search.naver.com/search.naver?where=blog&amp;query=%ED%95%9C%EB%A7%88%EC%9D%8C%EC%A0%95%EC%9C%A1%EC%8B%9D%EB%8B%B9+%EC%96%B4%EC%9D%80%EC%A0%90+%EC%9C%A0%EC%84%B1%EA%B5%AC","블로그 보기")</x:f>
        <x:v>HYPERLINK is not implemented. linkLocation=https://search.naver.com/search.naver?where=blog&amp;query=%ED%95%9C%EB%A7%88%EC%9D%8C%EC%A0%95%EC%9C%A1%EC%8B%9D%EB%8B%B9+%EC%96%B4%EC%9D%80%EC%A0%90+%EC%9C%A0%EC%84%B1%EA%B5%AC, friendlyName=블로그 보기</x:v>
      </x:c>
      <x:c r="J179" s="18" t="str"/>
      <x:c r="K179" s="18" t="str"/>
      <x:c r="L179" s="17" t="str"/>
      <x:c r="M179" s="20" t="n">
        <x:v>46222</x:v>
      </x:c>
      <x:c r="N179" s="21" t="n">
        <x:v>100</x:v>
      </x:c>
      <x:c r="O179" s="21" t="n">
        <x:v>96</x:v>
      </x:c>
      <x:c r="P179" s="21" t="n">
        <x:v>1700</x:v>
      </x:c>
      <x:c r="Q179" s="21" t="n">
        <x:v>1</x:v>
      </x:c>
      <x:c r="R179" s="21" t="n">
        <x:v>0</x:v>
      </x:c>
      <x:c r="S179" s="17" t="str">
        <x:v>어은동 고기</x:v>
      </x:c>
      <x:c r="T179" s="22" t="n">
        <x:v>36.3624166</x:v>
      </x:c>
      <x:c r="U179" s="22" t="n">
        <x:v>127.3574551</x:v>
      </x:c>
    </x:row>
    <x:row r="180" ht="32" customHeight="1">
      <x:c r="A180" s="18" t="str">
        <x:v>pending</x:v>
      </x:c>
      <x:c r="B180" s="18" t="str">
        <x:v>유성구</x:v>
      </x:c>
      <x:c r="C180" s="17" t="str">
        <x:v>황서옥</x:v>
      </x:c>
      <x:c r="D180" s="17" t="str">
        <x:v>한식&gt;곰탕,설렁탕</x:v>
      </x:c>
      <x:c r="E180" s="19" t="n">
        <x:v>53</x:v>
      </x:c>
      <x:c r="F180" s="17" t="str">
        <x:v>최근 12개월 블로그 24건</x:v>
      </x:c>
      <x:c r="G180" s="17" t="str">
        <x:v>대전광역시 유성구 덕명동 593-11</x:v>
      </x:c>
      <x:c r="H180" s="17" t="str">
        <x:v>대전광역시 유성구 동서대로179번길 38</x:v>
      </x:c>
      <x:c r="I180" s="18" t="e">
        <x:f>HYPERLINK("https://search.naver.com/search.naver?where=blog&amp;query=%ED%99%A9%EC%84%9C%EC%98%A5+%EC%9C%A0%EC%84%B1%EA%B5%AC","블로그 보기")</x:f>
        <x:v>HYPERLINK is not implemented. linkLocation=https://search.naver.com/search.naver?where=blog&amp;query=%ED%99%A9%EC%84%9C%EC%98%A5+%EC%9C%A0%EC%84%B1%EA%B5%AC, friendlyName=블로그 보기</x:v>
      </x:c>
      <x:c r="J180" s="18" t="str"/>
      <x:c r="K180" s="18" t="str"/>
      <x:c r="L180" s="17" t="str"/>
      <x:c r="M180" s="20" t="n">
        <x:v>46218</x:v>
      </x:c>
      <x:c r="N180" s="21" t="n">
        <x:v>24</x:v>
      </x:c>
      <x:c r="O180" s="21" t="n">
        <x:v>95</x:v>
      </x:c>
      <x:c r="P180" s="21" t="n">
        <x:v>200</x:v>
      </x:c>
      <x:c r="Q180" s="21" t="n">
        <x:v>1</x:v>
      </x:c>
      <x:c r="R180" s="21" t="n">
        <x:v>1</x:v>
      </x:c>
      <x:c r="S180" s="17" t="str">
        <x:v>유성구 국밥</x:v>
      </x:c>
      <x:c r="T180" s="22" t="n">
        <x:v>36.347731</x:v>
      </x:c>
      <x:c r="U180" s="22" t="n">
        <x:v>127.2965007</x:v>
      </x:c>
    </x:row>
    <x:row r="181" ht="32" customHeight="1">
      <x:c r="A181" s="18" t="str">
        <x:v>pending</x:v>
      </x:c>
      <x:c r="B181" s="18" t="str">
        <x:v>유성구</x:v>
      </x:c>
      <x:c r="C181" s="17" t="str">
        <x:v>강남국밥</x:v>
      </x:c>
      <x:c r="D181" s="17" t="str">
        <x:v>한식&gt;국밥</x:v>
      </x:c>
      <x:c r="E181" s="19" t="n">
        <x:v>52</x:v>
      </x:c>
      <x:c r="F181" s="17" t="str">
        <x:v>최근 12개월 블로그 100건</x:v>
      </x:c>
      <x:c r="G181" s="17" t="str">
        <x:v>대전광역시 유성구 어은동 110-5 강남국밥</x:v>
      </x:c>
      <x:c r="H181" s="17" t="str">
        <x:v>대전광역시 유성구 어은로48번길 9-5 강남국밥</x:v>
      </x:c>
      <x:c r="I181" s="18" t="e">
        <x:f>HYPERLINK("https://search.naver.com/search.naver?where=blog&amp;query=%EA%B0%95%EB%82%A8%EA%B5%AD%EB%B0%A5+%EC%9C%A0%EC%84%B1%EA%B5%AC","블로그 보기")</x:f>
        <x:v>HYPERLINK is not implemented. linkLocation=https://search.naver.com/search.naver?where=blog&amp;query=%EA%B0%95%EB%82%A8%EA%B5%AD%EB%B0%A5+%EC%9C%A0%EC%84%B1%EA%B5%AC, friendlyName=블로그 보기</x:v>
      </x:c>
      <x:c r="J181" s="18" t="str"/>
      <x:c r="K181" s="18" t="str"/>
      <x:c r="L181" s="17" t="str"/>
      <x:c r="M181" s="20" t="n">
        <x:v>46189</x:v>
      </x:c>
      <x:c r="N181" s="21" t="n">
        <x:v>100</x:v>
      </x:c>
      <x:c r="O181" s="21" t="n">
        <x:v>72</x:v>
      </x:c>
      <x:c r="P181" s="21" t="n">
        <x:v>594</x:v>
      </x:c>
      <x:c r="Q181" s="21" t="n">
        <x:v>1</x:v>
      </x:c>
      <x:c r="R181" s="21" t="n">
        <x:v>0</x:v>
      </x:c>
      <x:c r="S181" s="17" t="str">
        <x:v>어은동 국밥</x:v>
      </x:c>
      <x:c r="T181" s="22" t="n">
        <x:v>36.3629958</x:v>
      </x:c>
      <x:c r="U181" s="22" t="n">
        <x:v>127.3573458</x:v>
      </x:c>
    </x:row>
    <x:row r="182" ht="32" customHeight="1">
      <x:c r="A182" s="18" t="str">
        <x:v>pending</x:v>
      </x:c>
      <x:c r="B182" s="18" t="str">
        <x:v>유성구</x:v>
      </x:c>
      <x:c r="C182" s="17" t="str">
        <x:v>고기명작 봉명직영점</x:v>
      </x:c>
      <x:c r="D182" s="17" t="str">
        <x:v>한식&gt;육류,고기요리</x:v>
      </x:c>
      <x:c r="E182" s="19" t="n">
        <x:v>52</x:v>
      </x:c>
      <x:c r="F182" s="17" t="str">
        <x:v>최근 12개월 블로그 100건</x:v>
      </x:c>
      <x:c r="G182" s="17" t="str">
        <x:v>대전광역시 유성구 봉명동 621-6 고기명작 1층 입니다</x:v>
      </x:c>
      <x:c r="H182" s="17" t="str">
        <x:v>대전광역시 유성구 온천북로33번길 39 고기명작 1층 입니다</x:v>
      </x:c>
      <x:c r="I182" s="18" t="e">
        <x:f>HYPERLINK("https://search.naver.com/search.naver?where=blog&amp;query=%EA%B3%A0%EA%B8%B0%EB%AA%85%EC%9E%91+%EB%B4%89%EB%AA%85%EC%A7%81%EC%98%81%EC%A0%90+%EC%9C%A0%EC%84%B1%EA%B5%AC","블로그 보기")</x:f>
        <x:v>HYPERLINK is not implemented. linkLocation=https://search.naver.com/search.naver?where=blog&amp;query=%EA%B3%A0%EA%B8%B0%EB%AA%85%EC%9E%91+%EB%B4%89%EB%AA%85%EC%A7%81%EC%98%81%EC%A0%90+%EC%9C%A0%EC%84%B1%EA%B5%AC, friendlyName=블로그 보기</x:v>
      </x:c>
      <x:c r="J182" s="18" t="e">
        <x:f>HYPERLINK("https://www.instagram.com/only_myungjak","업체 보기")</x:f>
        <x:v>HYPERLINK is not implemented. linkLocation=https://www.instagram.com/only_myungjak, friendlyName=업체 보기</x:v>
      </x:c>
      <x:c r="K182" s="18" t="str"/>
      <x:c r="L182" s="17" t="str"/>
      <x:c r="M182" s="20" t="n">
        <x:v>46223</x:v>
      </x:c>
      <x:c r="N182" s="21" t="n">
        <x:v>100</x:v>
      </x:c>
      <x:c r="O182" s="21" t="n">
        <x:v>98</x:v>
      </x:c>
      <x:c r="P182" s="21" t="n">
        <x:v>609</x:v>
      </x:c>
      <x:c r="Q182" s="21" t="n">
        <x:v>1</x:v>
      </x:c>
      <x:c r="R182" s="21" t="n">
        <x:v>0</x:v>
      </x:c>
      <x:c r="S182" s="17" t="str">
        <x:v>유성구 고기</x:v>
      </x:c>
      <x:c r="T182" s="22" t="n">
        <x:v>36.358681</x:v>
      </x:c>
      <x:c r="U182" s="22" t="n">
        <x:v>127.3469753</x:v>
      </x:c>
    </x:row>
    <x:row r="183" ht="32" customHeight="1">
      <x:c r="A183" s="18" t="str">
        <x:v>pending</x:v>
      </x:c>
      <x:c r="B183" s="18" t="str">
        <x:v>유성구</x:v>
      </x:c>
      <x:c r="C183" s="17" t="str">
        <x:v>대구막창</x:v>
      </x:c>
      <x:c r="D183" s="17" t="str">
        <x:v>한식&gt;육류,고기요리</x:v>
      </x:c>
      <x:c r="E183" s="19" t="n">
        <x:v>52</x:v>
      </x:c>
      <x:c r="F183" s="17" t="str">
        <x:v>최근 12개월 블로그 100건</x:v>
      </x:c>
      <x:c r="G183" s="17" t="str">
        <x:v>대전광역시 유성구 어은동 100-4</x:v>
      </x:c>
      <x:c r="H183" s="17" t="str">
        <x:v>대전광역시 유성구 어은로57번길 53</x:v>
      </x:c>
      <x:c r="I183" s="18" t="e">
        <x:f>HYPERLINK("https://search.naver.com/search.naver?where=blog&amp;query=%EB%8C%80%EA%B5%AC%EB%A7%89%EC%B0%BD+%EC%9C%A0%EC%84%B1%EA%B5%AC","블로그 보기")</x:f>
        <x:v>HYPERLINK is not implemented. linkLocation=https://search.naver.com/search.naver?where=blog&amp;query=%EB%8C%80%EA%B5%AC%EB%A7%89%EC%B0%BD+%EC%9C%A0%EC%84%B1%EA%B5%AC, friendlyName=블로그 보기</x:v>
      </x:c>
      <x:c r="J183" s="18" t="str"/>
      <x:c r="K183" s="18" t="str"/>
      <x:c r="L183" s="17" t="str"/>
      <x:c r="M183" s="20" t="n">
        <x:v>46211</x:v>
      </x:c>
      <x:c r="N183" s="21" t="n">
        <x:v>100</x:v>
      </x:c>
      <x:c r="O183" s="21" t="n">
        <x:v>97</x:v>
      </x:c>
      <x:c r="P183" s="21" t="n">
        <x:v>607</x:v>
      </x:c>
      <x:c r="Q183" s="21" t="n">
        <x:v>1</x:v>
      </x:c>
      <x:c r="R183" s="21" t="n">
        <x:v>0</x:v>
      </x:c>
      <x:c r="S183" s="17" t="str">
        <x:v>어은동 고기</x:v>
      </x:c>
      <x:c r="T183" s="22" t="n">
        <x:v>36.3621522</x:v>
      </x:c>
      <x:c r="U183" s="22" t="n">
        <x:v>127.3537359</x:v>
      </x:c>
    </x:row>
    <x:row r="184" ht="32" customHeight="1">
      <x:c r="A184" s="18" t="str">
        <x:v>pending</x:v>
      </x:c>
      <x:c r="B184" s="18" t="str">
        <x:v>유성구</x:v>
      </x:c>
      <x:c r="C184" s="17" t="str">
        <x:v>모쿠요비 일본식 덮밥 봉명점</x:v>
      </x:c>
      <x:c r="D184" s="17" t="str">
        <x:v>음식점&gt;일식&gt;일식당</x:v>
      </x:c>
      <x:c r="E184" s="19" t="n">
        <x:v>52</x:v>
      </x:c>
      <x:c r="F184" s="17" t="str">
        <x:v>최근 12개월 블로그 100건</x:v>
      </x:c>
      <x:c r="G184" s="17" t="str">
        <x:v>대전광역시 유성구 봉명동 612-3 . 2층 212호</x:v>
      </x:c>
      <x:c r="H184" s="17" t="str">
        <x:v>대전광역시 유성구 대학로 60 . 2층 212호</x:v>
      </x:c>
      <x:c r="I184" s="18" t="e">
        <x:f>HYPERLINK("https://search.naver.com/search.naver?where=blog&amp;query=%EB%AA%A8%EC%BF%A0%EC%9A%94%EB%B9%84+%EC%9D%BC%EB%B3%B8%EC%8B%9D+%EB%8D%AE%EB%B0%A5+%EB%B4%89%EB%AA%85%EC%A0%90+%EC%9C%A0%EC%84%B1%EA%B5%AC","블로그 보기")</x:f>
        <x:v>HYPERLINK is not implemented. linkLocation=https://search.naver.com/search.naver?where=blog&amp;query=%EB%AA%A8%EC%BF%A0%EC%9A%94%EB%B9%84+%EC%9D%BC%EB%B3%B8%EC%8B%9D+%EB%8D%AE%EB%B0%A5+%EB%B4%89%EB%AA%85%EC%A0%90+%EC%9C%A0%EC%84%B1%EA%B5%AC, friendlyName=블로그 보기</x:v>
      </x:c>
      <x:c r="J184" s="18" t="str"/>
      <x:c r="K184" s="18" t="str"/>
      <x:c r="L184" s="17" t="str"/>
      <x:c r="M184" s="20" t="n">
        <x:v>46223</x:v>
      </x:c>
      <x:c r="N184" s="21" t="n">
        <x:v>100</x:v>
      </x:c>
      <x:c r="O184" s="21" t="n">
        <x:v>98</x:v>
      </x:c>
      <x:c r="P184" s="21" t="n">
        <x:v>588</x:v>
      </x:c>
      <x:c r="Q184" s="21" t="n">
        <x:v>1</x:v>
      </x:c>
      <x:c r="R184" s="21" t="n">
        <x:v>0</x:v>
      </x:c>
      <x:c r="S184" s="17" t="str">
        <x:v>유성구 일식</x:v>
      </x:c>
      <x:c r="T184" s="22" t="n">
        <x:v>36.3587444</x:v>
      </x:c>
      <x:c r="U184" s="22" t="n">
        <x:v>127.344239</x:v>
      </x:c>
    </x:row>
    <x:row r="185" ht="32" customHeight="1">
      <x:c r="A185" s="18" t="str">
        <x:v>pending</x:v>
      </x:c>
      <x:c r="B185" s="18" t="str">
        <x:v>유성구</x:v>
      </x:c>
      <x:c r="C185" s="17" t="str">
        <x:v>미나리삼겹살</x:v>
      </x:c>
      <x:c r="D185" s="17" t="str">
        <x:v>한식&gt;육류,고기요리</x:v>
      </x:c>
      <x:c r="E185" s="19" t="n">
        <x:v>52</x:v>
      </x:c>
      <x:c r="F185" s="17" t="str">
        <x:v>최근 12개월 블로그 100건</x:v>
      </x:c>
      <x:c r="G185" s="17" t="str">
        <x:v>대전광역시 유성구 어은동 111-2 1층</x:v>
      </x:c>
      <x:c r="H185" s="17" t="str">
        <x:v>대전광역시 유성구 어은로58번길 16 1층</x:v>
      </x:c>
      <x:c r="I185" s="18" t="e">
        <x:f>HYPERLINK("https://search.naver.com/search.naver?where=blog&amp;query=%EB%AF%B8%EB%82%98%EB%A6%AC%EC%82%BC%EA%B2%B9%EC%82%B4+%EC%9C%A0%EC%84%B1%EA%B5%AC","블로그 보기")</x:f>
        <x:v>HYPERLINK is not implemented. linkLocation=https://search.naver.com/search.naver?where=blog&amp;query=%EB%AF%B8%EB%82%98%EB%A6%AC%EC%82%BC%EA%B2%B9%EC%82%B4+%EC%9C%A0%EC%84%B1%EA%B5%AC, friendlyName=블로그 보기</x:v>
      </x:c>
      <x:c r="J185" s="18" t="str"/>
      <x:c r="K185" s="18" t="str"/>
      <x:c r="L185" s="17" t="str"/>
      <x:c r="M185" s="20" t="n">
        <x:v>46221</x:v>
      </x:c>
      <x:c r="N185" s="21" t="n">
        <x:v>100</x:v>
      </x:c>
      <x:c r="O185" s="21" t="n">
        <x:v>98</x:v>
      </x:c>
      <x:c r="P185" s="21" t="n">
        <x:v>571</x:v>
      </x:c>
      <x:c r="Q185" s="21" t="n">
        <x:v>1</x:v>
      </x:c>
      <x:c r="R185" s="21" t="n">
        <x:v>0</x:v>
      </x:c>
      <x:c r="S185" s="17" t="str">
        <x:v>어은동 고기</x:v>
      </x:c>
      <x:c r="T185" s="22" t="n">
        <x:v>36.3636701</x:v>
      </x:c>
      <x:c r="U185" s="22" t="n">
        <x:v>127.3573816</x:v>
      </x:c>
    </x:row>
    <x:row r="186" ht="32" customHeight="1">
      <x:c r="A186" s="18" t="str">
        <x:v>pending</x:v>
      </x:c>
      <x:c r="B186" s="18" t="str">
        <x:v>유성구</x:v>
      </x:c>
      <x:c r="C186" s="17" t="str">
        <x:v>백소정 대전노은점</x:v>
      </x:c>
      <x:c r="D186" s="17" t="str">
        <x:v>음식점&gt;일식&gt;일식당</x:v>
      </x:c>
      <x:c r="E186" s="19" t="n">
        <x:v>52</x:v>
      </x:c>
      <x:c r="F186" s="17" t="str">
        <x:v>지역성: 대전; 최근 12개월 블로그 2건</x:v>
      </x:c>
      <x:c r="G186" s="17" t="str">
        <x:v>대전광역시 유성구 지족동 910-3 103호</x:v>
      </x:c>
      <x:c r="H186" s="17" t="str">
        <x:v>대전광역시 유성구 은구비남로33번길 68 103호</x:v>
      </x:c>
      <x:c r="I186" s="18" t="e">
        <x:f>HYPERLINK("https://search.naver.com/search.naver?where=blog&amp;query=%EB%B0%B1%EC%86%8C%EC%A0%95+%EB%8C%80%EC%A0%84%EB%85%B8%EC%9D%80%EC%A0%90+%EC%9C%A0%EC%84%B1%EA%B5%AC","블로그 보기")</x:f>
        <x:v>HYPERLINK is not implemented. linkLocation=https://search.naver.com/search.naver?where=blog&amp;query=%EB%B0%B1%EC%86%8C%EC%A0%95+%EB%8C%80%EC%A0%84%EB%85%B8%EC%9D%80%EC%A0%90+%EC%9C%A0%EC%84%B1%EA%B5%AC, friendlyName=블로그 보기</x:v>
      </x:c>
      <x:c r="J186" s="18" t="e">
        <x:f>HYPERLINK("https://baeksojeong.com/","업체 보기")</x:f>
        <x:v>HYPERLINK is not implemented. linkLocation=https://baeksojeong.com/, friendlyName=업체 보기</x:v>
      </x:c>
      <x:c r="K186" s="18" t="str"/>
      <x:c r="L186" s="17" t="str"/>
      <x:c r="M186" s="20" t="n">
        <x:v>46150</x:v>
      </x:c>
      <x:c r="N186" s="21" t="n">
        <x:v>2</x:v>
      </x:c>
      <x:c r="O186" s="21" t="n">
        <x:v>24</x:v>
      </x:c>
      <x:c r="P186" s="21" t="n">
        <x:v>25</x:v>
      </x:c>
      <x:c r="Q186" s="21" t="n">
        <x:v>2</x:v>
      </x:c>
      <x:c r="R186" s="21" t="n">
        <x:v>2</x:v>
      </x:c>
      <x:c r="S186" s="17" t="str">
        <x:v>유성구 맛집 | 유성구 일식</x:v>
      </x:c>
      <x:c r="T186" s="22" t="n">
        <x:v>36.3753423</x:v>
      </x:c>
      <x:c r="U186" s="22" t="n">
        <x:v>127.3194868</x:v>
      </x:c>
    </x:row>
    <x:row r="187" ht="32" customHeight="1">
      <x:c r="A187" s="18" t="str">
        <x:v>pending</x:v>
      </x:c>
      <x:c r="B187" s="18" t="str">
        <x:v>유성구</x:v>
      </x:c>
      <x:c r="C187" s="17" t="str">
        <x:v>숨은 달인 횟집 물회</x:v>
      </x:c>
      <x:c r="D187" s="17" t="str">
        <x:v>한식&gt;생선회</x:v>
      </x:c>
      <x:c r="E187" s="19" t="n">
        <x:v>52</x:v>
      </x:c>
      <x:c r="F187" s="17" t="str">
        <x:v>최근 12개월 블로그 100건</x:v>
      </x:c>
      <x:c r="G187" s="17" t="str">
        <x:v>대전광역시 유성구 어은동 100-15 1층</x:v>
      </x:c>
      <x:c r="H187" s="17" t="str">
        <x:v>대전광역시 유성구 농대로 14 1층</x:v>
      </x:c>
      <x:c r="I187" s="18" t="e">
        <x:f>HYPERLINK("https://search.naver.com/search.naver?where=blog&amp;query=%EC%88%A8%EC%9D%80+%EB%8B%AC%EC%9D%B8+%ED%9A%9F%EC%A7%91+%EB%AC%BC%ED%9A%8C+%EC%9C%A0%EC%84%B1%EA%B5%AC","블로그 보기")</x:f>
        <x:v>HYPERLINK is not implemented. linkLocation=https://search.naver.com/search.naver?where=blog&amp;query=%EC%88%A8%EC%9D%80+%EB%8B%AC%EC%9D%B8+%ED%9A%9F%EC%A7%91+%EB%AC%BC%ED%9A%8C+%EC%9C%A0%EC%84%B1%EA%B5%AC, friendlyName=블로그 보기</x:v>
      </x:c>
      <x:c r="J187" s="18" t="str"/>
      <x:c r="K187" s="18" t="str"/>
      <x:c r="L187" s="17" t="str"/>
      <x:c r="M187" s="20" t="n">
        <x:v>46221</x:v>
      </x:c>
      <x:c r="N187" s="21" t="n">
        <x:v>100</x:v>
      </x:c>
      <x:c r="O187" s="21" t="n">
        <x:v>97</x:v>
      </x:c>
      <x:c r="P187" s="21" t="n">
        <x:v>517</x:v>
      </x:c>
      <x:c r="Q187" s="21" t="n">
        <x:v>1</x:v>
      </x:c>
      <x:c r="R187" s="21" t="n">
        <x:v>0</x:v>
      </x:c>
      <x:c r="S187" s="17" t="str">
        <x:v>어은동 해산물</x:v>
      </x:c>
      <x:c r="T187" s="22" t="n">
        <x:v>36.3617881</x:v>
      </x:c>
      <x:c r="U187" s="22" t="n">
        <x:v>127.3533256</x:v>
      </x:c>
    </x:row>
    <x:row r="188" ht="32" customHeight="1">
      <x:c r="A188" s="18" t="str">
        <x:v>pending</x:v>
      </x:c>
      <x:c r="B188" s="18" t="str">
        <x:v>유성구</x:v>
      </x:c>
      <x:c r="C188" s="17" t="str">
        <x:v>한마음 냉면</x:v>
      </x:c>
      <x:c r="D188" s="17" t="str">
        <x:v>한식&gt;냉면</x:v>
      </x:c>
      <x:c r="E188" s="19" t="n">
        <x:v>52</x:v>
      </x:c>
      <x:c r="F188" s="17" t="str">
        <x:v>최근 12개월 블로그 100건</x:v>
      </x:c>
      <x:c r="G188" s="17" t="str">
        <x:v>대전광역시 유성구 원내동 334-17</x:v>
      </x:c>
      <x:c r="H188" s="17" t="str">
        <x:v>대전광역시 유성구 진잠로70번길 41</x:v>
      </x:c>
      <x:c r="I188" s="18" t="e">
        <x:f>HYPERLINK("https://search.naver.com/search.naver?where=blog&amp;query=%ED%95%9C%EB%A7%88%EC%9D%8C+%EB%83%89%EB%A9%B4+%EC%9C%A0%EC%84%B1%EA%B5%AC","블로그 보기")</x:f>
        <x:v>HYPERLINK is not implemented. linkLocation=https://search.naver.com/search.naver?where=blog&amp;query=%ED%95%9C%EB%A7%88%EC%9D%8C+%EB%83%89%EB%A9%B4+%EC%9C%A0%EC%84%B1%EA%B5%AC, friendlyName=블로그 보기</x:v>
      </x:c>
      <x:c r="J188" s="18" t="str"/>
      <x:c r="K188" s="18" t="str"/>
      <x:c r="L188" s="17" t="str"/>
      <x:c r="M188" s="20" t="n">
        <x:v>46223</x:v>
      </x:c>
      <x:c r="N188" s="21" t="n">
        <x:v>100</x:v>
      </x:c>
      <x:c r="O188" s="21" t="n">
        <x:v>92</x:v>
      </x:c>
      <x:c r="P188" s="21" t="n">
        <x:v>790</x:v>
      </x:c>
      <x:c r="Q188" s="21" t="n">
        <x:v>1</x:v>
      </x:c>
      <x:c r="R188" s="21" t="n">
        <x:v>0</x:v>
      </x:c>
      <x:c r="S188" s="17" t="str">
        <x:v>유성구 냉면</x:v>
      </x:c>
      <x:c r="T188" s="22" t="n">
        <x:v>36.2984759</x:v>
      </x:c>
      <x:c r="U188" s="22" t="n">
        <x:v>127.3184911</x:v>
      </x:c>
    </x:row>
    <x:row r="189" ht="32" customHeight="1">
      <x:c r="A189" s="18" t="str">
        <x:v>pending</x:v>
      </x:c>
      <x:c r="B189" s="18" t="str">
        <x:v>유성구</x:v>
      </x:c>
      <x:c r="C189" s="17" t="str">
        <x:v>회포</x:v>
      </x:c>
      <x:c r="D189" s="17" t="str">
        <x:v>한식&gt;생선회</x:v>
      </x:c>
      <x:c r="E189" s="19" t="n">
        <x:v>52</x:v>
      </x:c>
      <x:c r="F189" s="17" t="str">
        <x:v>최근 12개월 블로그 100건</x:v>
      </x:c>
      <x:c r="G189" s="17" t="str">
        <x:v>대전광역시 유성구 봉명동 611-9 . 103,104, 105호</x:v>
      </x:c>
      <x:c r="H189" s="17" t="str">
        <x:v>대전광역시 유성구 문화원로 89 . 103,104, 105호(봉명동)</x:v>
      </x:c>
      <x:c r="I189" s="18" t="e">
        <x:f>HYPERLINK("https://search.naver.com/search.naver?where=blog&amp;query=%ED%9A%8C%ED%8F%AC+%EB%B4%89%EB%AA%85%EB%8F%99","블로그 보기")</x:f>
        <x:v>HYPERLINK is not implemented. linkLocation=https://search.naver.com/search.naver?where=blog&amp;query=%ED%9A%8C%ED%8F%AC+%EB%B4%89%EB%AA%85%EB%8F%99, friendlyName=블로그 보기</x:v>
      </x:c>
      <x:c r="J189" s="18" t="str"/>
      <x:c r="K189" s="18" t="str"/>
      <x:c r="L189" s="17" t="str"/>
      <x:c r="M189" s="20" t="n">
        <x:v>46223</x:v>
      </x:c>
      <x:c r="N189" s="21" t="n">
        <x:v>100</x:v>
      </x:c>
      <x:c r="O189" s="21" t="n">
        <x:v>99</x:v>
      </x:c>
      <x:c r="P189" s="21" t="n">
        <x:v>680</x:v>
      </x:c>
      <x:c r="Q189" s="21" t="n">
        <x:v>1</x:v>
      </x:c>
      <x:c r="R189" s="21" t="n">
        <x:v>0</x:v>
      </x:c>
      <x:c r="S189" s="17" t="str">
        <x:v>유성구 해산물</x:v>
      </x:c>
      <x:c r="T189" s="22" t="n">
        <x:v>36.3591841</x:v>
      </x:c>
      <x:c r="U189" s="22" t="n">
        <x:v>127.3456401</x:v>
      </x:c>
    </x:row>
    <x:row r="190" ht="32" customHeight="1">
      <x:c r="A190" s="18" t="str">
        <x:v>pending</x:v>
      </x:c>
      <x:c r="B190" s="18" t="str">
        <x:v>유성구</x:v>
      </x:c>
      <x:c r="C190" s="17" t="str">
        <x:v>낭랑</x:v>
      </x:c>
      <x:c r="D190" s="17" t="str">
        <x:v>중식&gt;중식당</x:v>
      </x:c>
      <x:c r="E190" s="19" t="n">
        <x:v>51</x:v>
      </x:c>
      <x:c r="F190" s="17" t="str">
        <x:v>최근 12개월 블로그 62건</x:v>
      </x:c>
      <x:c r="G190" s="17" t="str">
        <x:v>대전광역시 유성구 신성동 126-18 1층</x:v>
      </x:c>
      <x:c r="H190" s="17" t="str">
        <x:v>대전광역시 유성구 신성남로111번길 16 1층</x:v>
      </x:c>
      <x:c r="I190" s="18" t="e">
        <x:f>HYPERLINK("https://search.naver.com/search.naver?where=blog&amp;query=%EB%82%AD%EB%9E%91+%EC%9C%A0%EC%84%B1%EA%B5%AC","블로그 보기")</x:f>
        <x:v>HYPERLINK is not implemented. linkLocation=https://search.naver.com/search.naver?where=blog&amp;query=%EB%82%AD%EB%9E%91+%EC%9C%A0%EC%84%B1%EA%B5%AC, friendlyName=블로그 보기</x:v>
      </x:c>
      <x:c r="J190" s="18" t="e">
        <x:f>HYPERLINK("https://blog.naver.com/whwhwh1127","업체 보기")</x:f>
        <x:v>HYPERLINK is not implemented. linkLocation=https://blog.naver.com/whwhwh1127, friendlyName=업체 보기</x:v>
      </x:c>
      <x:c r="K190" s="18" t="str"/>
      <x:c r="L190" s="17" t="str"/>
      <x:c r="M190" s="20" t="n">
        <x:v>46219</x:v>
      </x:c>
      <x:c r="N190" s="21" t="n">
        <x:v>62</x:v>
      </x:c>
      <x:c r="O190" s="21" t="n">
        <x:v>98</x:v>
      </x:c>
      <x:c r="P190" s="21" t="n">
        <x:v>257</x:v>
      </x:c>
      <x:c r="Q190" s="21" t="n">
        <x:v>1</x:v>
      </x:c>
      <x:c r="R190" s="21" t="n">
        <x:v>0</x:v>
      </x:c>
      <x:c r="S190" s="17" t="str">
        <x:v>유성구 중식</x:v>
      </x:c>
      <x:c r="T190" s="22" t="n">
        <x:v>36.3903854</x:v>
      </x:c>
      <x:c r="U190" s="22" t="n">
        <x:v>127.3512906</x:v>
      </x:c>
    </x:row>
    <x:row r="191" ht="32" customHeight="1">
      <x:c r="A191" s="18" t="str">
        <x:v>pending</x:v>
      </x:c>
      <x:c r="B191" s="18" t="str">
        <x:v>유성구</x:v>
      </x:c>
      <x:c r="C191" s="17" t="str">
        <x:v>묘한식당</x:v>
      </x:c>
      <x:c r="D191" s="17" t="str">
        <x:v>술집&gt;요리주점</x:v>
      </x:c>
      <x:c r="E191" s="19" t="n">
        <x:v>51</x:v>
      </x:c>
      <x:c r="F191" s="17" t="str">
        <x:v>최근 12개월 블로그 100건</x:v>
      </x:c>
      <x:c r="G191" s="17" t="str">
        <x:v>대전광역시 유성구 봉명동 624-2</x:v>
      </x:c>
      <x:c r="H191" s="17" t="str">
        <x:v>대전광역시 유성구 온천북로33번길 35-17</x:v>
      </x:c>
      <x:c r="I191" s="18" t="e">
        <x:f>HYPERLINK("https://search.naver.com/search.naver?where=blog&amp;query=%EB%AC%98%ED%95%9C%EC%8B%9D%EB%8B%B9+%EC%9C%A0%EC%84%B1%EA%B5%AC","블로그 보기")</x:f>
        <x:v>HYPERLINK is not implemented. linkLocation=https://search.naver.com/search.naver?where=blog&amp;query=%EB%AC%98%ED%95%9C%EC%8B%9D%EB%8B%B9+%EC%9C%A0%EC%84%B1%EA%B5%AC, friendlyName=블로그 보기</x:v>
      </x:c>
      <x:c r="J191" s="18" t="e">
        <x:f>HYPERLINK("https://app.catchtable.co.kr/ct/shop/myohansigdang","업체 보기")</x:f>
        <x:v>HYPERLINK is not implemented. linkLocation=https://app.catchtable.co.kr/ct/shop/myohansigdang, friendlyName=업체 보기</x:v>
      </x:c>
      <x:c r="K191" s="18" t="str"/>
      <x:c r="L191" s="17" t="str"/>
      <x:c r="M191" s="20" t="n">
        <x:v>46222</x:v>
      </x:c>
      <x:c r="N191" s="21" t="n">
        <x:v>100</x:v>
      </x:c>
      <x:c r="O191" s="21" t="n">
        <x:v>100</x:v>
      </x:c>
      <x:c r="P191" s="21" t="n">
        <x:v>434</x:v>
      </x:c>
      <x:c r="Q191" s="21" t="n">
        <x:v>1</x:v>
      </x:c>
      <x:c r="R191" s="21" t="n">
        <x:v>0</x:v>
      </x:c>
      <x:c r="S191" s="17" t="str">
        <x:v>어은동 두부두루치기</x:v>
      </x:c>
      <x:c r="T191" s="22" t="n">
        <x:v>36.3583398</x:v>
      </x:c>
      <x:c r="U191" s="22" t="n">
        <x:v>127.3457669</x:v>
      </x:c>
    </x:row>
    <x:row r="192" ht="32" customHeight="1">
      <x:c r="A192" s="18" t="str">
        <x:v>pending</x:v>
      </x:c>
      <x:c r="B192" s="18" t="str">
        <x:v>유성구</x:v>
      </x:c>
      <x:c r="C192" s="17" t="str">
        <x:v>유명돌구이</x:v>
      </x:c>
      <x:c r="D192" s="17" t="str">
        <x:v>한식&gt;육류,고기요리</x:v>
      </x:c>
      <x:c r="E192" s="19" t="n">
        <x:v>51</x:v>
      </x:c>
      <x:c r="F192" s="17" t="str">
        <x:v>최근 12개월 블로그 82건</x:v>
      </x:c>
      <x:c r="G192" s="17" t="str">
        <x:v>대전광역시 유성구 봉명동 468-1</x:v>
      </x:c>
      <x:c r="H192" s="17" t="str">
        <x:v>대전광역시 유성구 계룡로 60 (봉명동)</x:v>
      </x:c>
      <x:c r="I192" s="18" t="e">
        <x:f>HYPERLINK("https://search.naver.com/search.naver?where=blog&amp;query=%EC%9C%A0%EB%AA%85%EB%8F%8C%EA%B5%AC%EC%9D%B4+%EB%B4%89%EB%AA%85%EB%8F%99","블로그 보기")</x:f>
        <x:v>HYPERLINK is not implemented. linkLocation=https://search.naver.com/search.naver?where=blog&amp;query=%EC%9C%A0%EB%AA%85%EB%8F%8C%EA%B5%AC%EC%9D%B4+%EB%B4%89%EB%AA%85%EB%8F%99, friendlyName=블로그 보기</x:v>
      </x:c>
      <x:c r="J192" s="18" t="str"/>
      <x:c r="K192" s="18" t="str"/>
      <x:c r="L192" s="17" t="str"/>
      <x:c r="M192" s="20" t="n">
        <x:v>46218</x:v>
      </x:c>
      <x:c r="N192" s="21" t="n">
        <x:v>82</x:v>
      </x:c>
      <x:c r="O192" s="21" t="n">
        <x:v>92</x:v>
      </x:c>
      <x:c r="P192" s="21" t="n">
        <x:v>374</x:v>
      </x:c>
      <x:c r="Q192" s="21" t="n">
        <x:v>1</x:v>
      </x:c>
      <x:c r="R192" s="21" t="n">
        <x:v>0</x:v>
      </x:c>
      <x:c r="S192" s="17" t="str">
        <x:v>유성구 노포</x:v>
      </x:c>
      <x:c r="T192" s="22" t="n">
        <x:v>36.3546803</x:v>
      </x:c>
      <x:c r="U192" s="22" t="n">
        <x:v>127.3375144</x:v>
      </x:c>
    </x:row>
    <x:row r="193" ht="32" customHeight="1">
      <x:c r="A193" s="18" t="str">
        <x:v>pending</x:v>
      </x:c>
      <x:c r="B193" s="18" t="str">
        <x:v>유성구</x:v>
      </x:c>
      <x:c r="C193" s="17" t="str">
        <x:v>조기종의향미각 봉명점</x:v>
      </x:c>
      <x:c r="D193" s="17" t="str">
        <x:v>중식&gt;중식당</x:v>
      </x:c>
      <x:c r="E193" s="19" t="n">
        <x:v>51</x:v>
      </x:c>
      <x:c r="F193" s="17" t="str">
        <x:v>최근 12개월 블로그 100건</x:v>
      </x:c>
      <x:c r="G193" s="17" t="str">
        <x:v>대전광역시 유성구 봉명동 607-4</x:v>
      </x:c>
      <x:c r="H193" s="17" t="str">
        <x:v>대전광역시 유성구 대학로 39-10</x:v>
      </x:c>
      <x:c r="I193" s="18" t="e">
        <x:f>HYPERLINK("https://search.naver.com/search.naver?where=blog&amp;query=%EC%A1%B0%EA%B8%B0%EC%A2%85%EC%9D%98%ED%96%A5%EB%AF%B8%EA%B0%81+%EB%B4%89%EB%AA%85%EC%A0%90+%EC%9C%A0%EC%84%B1%EA%B5%AC","블로그 보기")</x:f>
        <x:v>HYPERLINK is not implemented. linkLocation=https://search.naver.com/search.naver?where=blog&amp;query=%EC%A1%B0%EA%B8%B0%EC%A2%85%EC%9D%98%ED%96%A5%EB%AF%B8%EA%B0%81+%EB%B4%89%EB%AA%85%EC%A0%90+%EC%9C%A0%EC%84%B1%EA%B5%AC, friendlyName=블로그 보기</x:v>
      </x:c>
      <x:c r="J193" s="18" t="str"/>
      <x:c r="K193" s="18" t="str"/>
      <x:c r="L193" s="17" t="str"/>
      <x:c r="M193" s="20" t="n">
        <x:v>46222</x:v>
      </x:c>
      <x:c r="N193" s="21" t="n">
        <x:v>100</x:v>
      </x:c>
      <x:c r="O193" s="21" t="n">
        <x:v>98</x:v>
      </x:c>
      <x:c r="P193" s="21" t="n">
        <x:v>348</x:v>
      </x:c>
      <x:c r="Q193" s="21" t="n">
        <x:v>1</x:v>
      </x:c>
      <x:c r="R193" s="21" t="n">
        <x:v>0</x:v>
      </x:c>
      <x:c r="S193" s="17" t="str">
        <x:v>유성구 중식</x:v>
      </x:c>
      <x:c r="T193" s="22" t="n">
        <x:v>36.3577153</x:v>
      </x:c>
      <x:c r="U193" s="22" t="n">
        <x:v>127.3425583</x:v>
      </x:c>
    </x:row>
    <x:row r="194" ht="32" customHeight="1">
      <x:c r="A194" s="18" t="str">
        <x:v>pending</x:v>
      </x:c>
      <x:c r="B194" s="18" t="str">
        <x:v>유성구</x:v>
      </x:c>
      <x:c r="C194" s="17" t="str">
        <x:v>카라마데</x:v>
      </x:c>
      <x:c r="D194" s="17" t="str">
        <x:v>음식점&gt;일식&gt;일식당</x:v>
      </x:c>
      <x:c r="E194" s="19" t="n">
        <x:v>51</x:v>
      </x:c>
      <x:c r="F194" s="17" t="str">
        <x:v>최근 12개월 블로그 27건</x:v>
      </x:c>
      <x:c r="G194" s="17" t="str">
        <x:v>대전광역시 유성구 죽동 724-4</x:v>
      </x:c>
      <x:c r="H194" s="17" t="str">
        <x:v>대전광역시 유성구 죽동로279번길 43-5</x:v>
      </x:c>
      <x:c r="I194" s="18" t="e">
        <x:f>HYPERLINK("https://search.naver.com/search.naver?where=blog&amp;query=%EC%B9%B4%EB%9D%BC%EB%A7%88%EB%8D%B0+%EC%A3%BD%EB%8F%99","블로그 보기")</x:f>
        <x:v>HYPERLINK is not implemented. linkLocation=https://search.naver.com/search.naver?where=blog&amp;query=%EC%B9%B4%EB%9D%BC%EB%A7%88%EB%8D%B0+%EC%A3%BD%EB%8F%99, friendlyName=블로그 보기</x:v>
      </x:c>
      <x:c r="J194" s="18" t="str"/>
      <x:c r="K194" s="18" t="str"/>
      <x:c r="L194" s="17" t="str"/>
      <x:c r="M194" s="20" t="n">
        <x:v>46218</x:v>
      </x:c>
      <x:c r="N194" s="21" t="n">
        <x:v>27</x:v>
      </x:c>
      <x:c r="O194" s="21" t="n">
        <x:v>93</x:v>
      </x:c>
      <x:c r="P194" s="21" t="n">
        <x:v>402</x:v>
      </x:c>
      <x:c r="Q194" s="21" t="n">
        <x:v>1</x:v>
      </x:c>
      <x:c r="R194" s="21" t="n">
        <x:v>0</x:v>
      </x:c>
      <x:c r="S194" s="17" t="str">
        <x:v>유성구 일식</x:v>
      </x:c>
      <x:c r="T194" s="22" t="n">
        <x:v>36.370762</x:v>
      </x:c>
      <x:c r="U194" s="22" t="n">
        <x:v>127.3394384</x:v>
      </x:c>
    </x:row>
    <x:row r="195" ht="32" customHeight="1">
      <x:c r="A195" s="18" t="str">
        <x:v>pending</x:v>
      </x:c>
      <x:c r="B195" s="18" t="str">
        <x:v>유성구</x:v>
      </x:c>
      <x:c r="C195" s="17" t="str">
        <x:v>화목한우리집</x:v>
      </x:c>
      <x:c r="D195" s="17" t="str">
        <x:v>분식&gt;종합분식</x:v>
      </x:c>
      <x:c r="E195" s="19" t="n">
        <x:v>51</x:v>
      </x:c>
      <x:c r="F195" s="17" t="str">
        <x:v>최근 12개월 블로그 91건</x:v>
      </x:c>
      <x:c r="G195" s="17" t="str">
        <x:v>대전광역시 유성구 전민동 348-15</x:v>
      </x:c>
      <x:c r="H195" s="17" t="str">
        <x:v>대전광역시 유성구 전민로 64</x:v>
      </x:c>
      <x:c r="I195" s="18" t="e">
        <x:f>HYPERLINK("https://search.naver.com/search.naver?where=blog&amp;query=%ED%99%94%EB%AA%A9%ED%95%9C%EC%9A%B0%EB%A6%AC%EC%A7%91+%EC%9C%A0%EC%84%B1%EA%B5%AC","블로그 보기")</x:f>
        <x:v>HYPERLINK is not implemented. linkLocation=https://search.naver.com/search.naver?where=blog&amp;query=%ED%99%94%EB%AA%A9%ED%95%9C%EC%9A%B0%EB%A6%AC%EC%A7%91+%EC%9C%A0%EC%84%B1%EA%B5%AC, friendlyName=블로그 보기</x:v>
      </x:c>
      <x:c r="J195" s="18" t="str"/>
      <x:c r="K195" s="18" t="str"/>
      <x:c r="L195" s="17" t="str"/>
      <x:c r="M195" s="20" t="n">
        <x:v>46220</x:v>
      </x:c>
      <x:c r="N195" s="21" t="n">
        <x:v>91</x:v>
      </x:c>
      <x:c r="O195" s="21" t="n">
        <x:v>97</x:v>
      </x:c>
      <x:c r="P195" s="21" t="n">
        <x:v>372</x:v>
      </x:c>
      <x:c r="Q195" s="21" t="n">
        <x:v>1</x:v>
      </x:c>
      <x:c r="R195" s="21" t="n">
        <x:v>0</x:v>
      </x:c>
      <x:c r="S195" s="17" t="str">
        <x:v>유성구 분식</x:v>
      </x:c>
      <x:c r="T195" s="22" t="n">
        <x:v>36.3983503</x:v>
      </x:c>
      <x:c r="U195" s="22" t="n">
        <x:v>127.4004526</x:v>
      </x:c>
    </x:row>
    <x:row r="196" ht="32" customHeight="1">
      <x:c r="A196" s="18" t="str">
        <x:v>pending</x:v>
      </x:c>
      <x:c r="B196" s="18" t="str">
        <x:v>유성구</x:v>
      </x:c>
      <x:c r="C196" s="17" t="str">
        <x:v>고봉민김밥인 대전어은점</x:v>
      </x:c>
      <x:c r="D196" s="17" t="str">
        <x:v>음식점&gt;분식</x:v>
      </x:c>
      <x:c r="E196" s="19" t="n">
        <x:v>50</x:v>
      </x:c>
      <x:c r="F196" s="17" t="str">
        <x:v>지역성: 대전</x:v>
      </x:c>
      <x:c r="G196" s="17" t="str">
        <x:v>대전광역시 유성구 어은동 115-2 한빛빌딩 1층</x:v>
      </x:c>
      <x:c r="H196" s="17" t="str">
        <x:v>대전광역시 유성구 어은로 44 한빛빌딩 1층</x:v>
      </x:c>
      <x:c r="I196" s="18" t="e">
        <x:f>HYPERLINK("https://search.naver.com/search.naver?where=blog&amp;query=%EA%B3%A0%EB%B4%89%EB%AF%BC%EA%B9%80%EB%B0%A5%EC%9D%B8+%EB%8C%80%EC%A0%84%EC%96%B4%EC%9D%80%EC%A0%90+%EC%9C%A0%EC%84%B1%EA%B5%AC","블로그 보기")</x:f>
        <x:v>HYPERLINK is not implemented. linkLocation=https://search.naver.com/search.naver?where=blog&amp;query=%EA%B3%A0%EB%B4%89%EB%AF%BC%EA%B9%80%EB%B0%A5%EC%9D%B8+%EB%8C%80%EC%A0%84%EC%96%B4%EC%9D%80%EC%A0%90+%EC%9C%A0%EC%84%B1%EA%B5%AC, friendlyName=블로그 보기</x:v>
      </x:c>
      <x:c r="J196" s="18" t="e">
        <x:f>HYPERLINK("https://blog.naver.com/kobongmin_official","업체 보기")</x:f>
        <x:v>HYPERLINK is not implemented. linkLocation=https://blog.naver.com/kobongmin_official, friendlyName=업체 보기</x:v>
      </x:c>
      <x:c r="K196" s="18" t="str"/>
      <x:c r="L196" s="17" t="str"/>
      <x:c r="M196" s="20" t="n">
        <x:v>45680</x:v>
      </x:c>
      <x:c r="N196" s="21" t="n">
        <x:v>0</x:v>
      </x:c>
      <x:c r="O196" s="21" t="n">
        <x:v>6</x:v>
      </x:c>
      <x:c r="P196" s="21" t="n">
        <x:v>6</x:v>
      </x:c>
      <x:c r="Q196" s="21" t="n">
        <x:v>4</x:v>
      </x:c>
      <x:c r="R196" s="21" t="n">
        <x:v>2</x:v>
      </x:c>
      <x:c r="S196" s="17" t="str">
        <x:v>어은동 국밥 | 어은동 냉면</x:v>
      </x:c>
      <x:c r="T196" s="22" t="n">
        <x:v>36.3623123</x:v>
      </x:c>
      <x:c r="U196" s="22" t="n">
        <x:v>127.3575487</x:v>
      </x:c>
    </x:row>
    <x:row r="197" ht="32" customHeight="1">
      <x:c r="A197" s="18" t="str">
        <x:v>pending</x:v>
      </x:c>
      <x:c r="B197" s="18" t="str">
        <x:v>유성구</x:v>
      </x:c>
      <x:c r="C197" s="17" t="str">
        <x:v>마쯔미라멘</x:v>
      </x:c>
      <x:c r="D197" s="17" t="str">
        <x:v>음식점&gt;일식&gt;일본식라면</x:v>
      </x:c>
      <x:c r="E197" s="19" t="n">
        <x:v>50</x:v>
      </x:c>
      <x:c r="F197" s="17" t="str">
        <x:v>최근 12개월 블로그 72건</x:v>
      </x:c>
      <x:c r="G197" s="17" t="str">
        <x:v>대전광역시 유성구 어은동 114-9 1층</x:v>
      </x:c>
      <x:c r="H197" s="17" t="str">
        <x:v>대전광역시 유성구 어은로42번길 19 1층</x:v>
      </x:c>
      <x:c r="I197" s="18" t="e">
        <x:f>HYPERLINK("https://search.naver.com/search.naver?where=blog&amp;query=%EB%A7%88%EC%AF%94%EB%AF%B8%EB%9D%BC%EB%A9%98+%EC%9C%A0%EC%84%B1%EA%B5%AC","블로그 보기")</x:f>
        <x:v>HYPERLINK is not implemented. linkLocation=https://search.naver.com/search.naver?where=blog&amp;query=%EB%A7%88%EC%AF%94%EB%AF%B8%EB%9D%BC%EB%A9%98+%EC%9C%A0%EC%84%B1%EA%B5%AC, friendlyName=블로그 보기</x:v>
      </x:c>
      <x:c r="J197" s="18" t="e">
        <x:f>HYPERLINK("http://www.instagram.com/matsumi_ramen","업체 보기")</x:f>
        <x:v>HYPERLINK is not implemented. linkLocation=http://www.instagram.com/matsumi_ramen, friendlyName=업체 보기</x:v>
      </x:c>
      <x:c r="K197" s="18" t="str"/>
      <x:c r="L197" s="17" t="str"/>
      <x:c r="M197" s="20" t="n">
        <x:v>46208</x:v>
      </x:c>
      <x:c r="N197" s="21" t="n">
        <x:v>72</x:v>
      </x:c>
      <x:c r="O197" s="21" t="n">
        <x:v>91</x:v>
      </x:c>
      <x:c r="P197" s="21" t="n">
        <x:v>203</x:v>
      </x:c>
      <x:c r="Q197" s="21" t="n">
        <x:v>1</x:v>
      </x:c>
      <x:c r="R197" s="21" t="n">
        <x:v>0</x:v>
      </x:c>
      <x:c r="S197" s="17" t="str">
        <x:v>어은동 맛집</x:v>
      </x:c>
      <x:c r="T197" s="22" t="n">
        <x:v>36.3631243</x:v>
      </x:c>
      <x:c r="U197" s="22" t="n">
        <x:v>127.3587492</x:v>
      </x:c>
    </x:row>
    <x:row r="198" ht="32" customHeight="1">
      <x:c r="A198" s="18" t="str">
        <x:v>pending</x:v>
      </x:c>
      <x:c r="B198" s="18" t="str">
        <x:v>유성구</x:v>
      </x:c>
      <x:c r="C198" s="17" t="str">
        <x:v>연래춘대반점</x:v>
      </x:c>
      <x:c r="D198" s="17" t="str">
        <x:v>중식&gt;중식당</x:v>
      </x:c>
      <x:c r="E198" s="19" t="n">
        <x:v>50</x:v>
      </x:c>
      <x:c r="F198" s="17" t="str">
        <x:v>최근 12개월 블로그 93건</x:v>
      </x:c>
      <x:c r="G198" s="17" t="str">
        <x:v>대전광역시 유성구 궁동 482-8</x:v>
      </x:c>
      <x:c r="H198" s="17" t="str">
        <x:v>대전광역시 유성구 대학로 78</x:v>
      </x:c>
      <x:c r="I198" s="18" t="e">
        <x:f>HYPERLINK("https://search.naver.com/search.naver?where=blog&amp;query=%EC%97%B0%EB%9E%98%EC%B6%98%EB%8C%80%EB%B0%98%EC%A0%90+%EC%9C%A0%EC%84%B1%EA%B5%AC","블로그 보기")</x:f>
        <x:v>HYPERLINK is not implemented. linkLocation=https://search.naver.com/search.naver?where=blog&amp;query=%EC%97%B0%EB%9E%98%EC%B6%98%EB%8C%80%EB%B0%98%EC%A0%90+%EC%9C%A0%EC%84%B1%EA%B5%AC, friendlyName=블로그 보기</x:v>
      </x:c>
      <x:c r="J198" s="18" t="e">
        <x:f>HYPERLINK("http://www.042-825-1177.kti114.net/","업체 보기")</x:f>
        <x:v>HYPERLINK is not implemented. linkLocation=http://www.042-825-1177.kti114.net/, friendlyName=업체 보기</x:v>
      </x:c>
      <x:c r="K198" s="18" t="str"/>
      <x:c r="L198" s="17" t="str"/>
      <x:c r="M198" s="20" t="n">
        <x:v>46223</x:v>
      </x:c>
      <x:c r="N198" s="21" t="n">
        <x:v>93</x:v>
      </x:c>
      <x:c r="O198" s="21" t="n">
        <x:v>96</x:v>
      </x:c>
      <x:c r="P198" s="21" t="n">
        <x:v>196</x:v>
      </x:c>
      <x:c r="Q198" s="21" t="n">
        <x:v>1</x:v>
      </x:c>
      <x:c r="R198" s="21" t="n">
        <x:v>0</x:v>
      </x:c>
      <x:c r="S198" s="17" t="str">
        <x:v>유성구 중식</x:v>
      </x:c>
      <x:c r="T198" s="22" t="n">
        <x:v>36.3604143</x:v>
      </x:c>
      <x:c r="U198" s="22" t="n">
        <x:v>127.3443829</x:v>
      </x:c>
    </x:row>
    <x:row r="199" ht="32" customHeight="1">
      <x:c r="A199" s="18" t="str">
        <x:v>pending</x:v>
      </x:c>
      <x:c r="B199" s="18" t="str">
        <x:v>유성구</x:v>
      </x:c>
      <x:c r="C199" s="17" t="str">
        <x:v>열매손만두분식</x:v>
      </x:c>
      <x:c r="D199" s="17" t="str">
        <x:v>분식&gt;만두</x:v>
      </x:c>
      <x:c r="E199" s="19" t="n">
        <x:v>50</x:v>
      </x:c>
      <x:c r="F199" s="17" t="str">
        <x:v>최근 12개월 블로그 23건</x:v>
      </x:c>
      <x:c r="G199" s="17" t="str">
        <x:v>대전광역시 유성구 지족동 912-10 열매손만두분식</x:v>
      </x:c>
      <x:c r="H199" s="17" t="str">
        <x:v>대전광역시 유성구 은구비서로 25 열매손만두분식</x:v>
      </x:c>
      <x:c r="I199" s="18" t="e">
        <x:f>HYPERLINK("https://search.naver.com/search.naver?where=blog&amp;query=%EC%97%B4%EB%A7%A4%EC%86%90%EB%A7%8C%EB%91%90%EB%B6%84%EC%8B%9D+%EC%9C%A0%EC%84%B1%EA%B5%AC","블로그 보기")</x:f>
        <x:v>HYPERLINK is not implemented. linkLocation=https://search.naver.com/search.naver?where=blog&amp;query=%EC%97%B4%EB%A7%A4%EC%86%90%EB%A7%8C%EB%91%90%EB%B6%84%EC%8B%9D+%EC%9C%A0%EC%84%B1%EA%B5%AC, friendlyName=블로그 보기</x:v>
      </x:c>
      <x:c r="J199" s="18" t="e">
        <x:f>HYPERLINK("https://youtu.be/MnEdGm6bp7A?si=H11E3Hfr_9b75Tzz","업체 보기")</x:f>
        <x:v>HYPERLINK is not implemented. linkLocation=https://youtu.be/MnEdGm6bp7A?si=H11E3Hfr_9b75Tzz, friendlyName=업체 보기</x:v>
      </x:c>
      <x:c r="K199" s="18" t="str"/>
      <x:c r="L199" s="17" t="str"/>
      <x:c r="M199" s="20" t="n">
        <x:v>46216</x:v>
      </x:c>
      <x:c r="N199" s="21" t="n">
        <x:v>23</x:v>
      </x:c>
      <x:c r="O199" s="21" t="n">
        <x:v>98</x:v>
      </x:c>
      <x:c r="P199" s="21" t="n">
        <x:v>140</x:v>
      </x:c>
      <x:c r="Q199" s="21" t="n">
        <x:v>1</x:v>
      </x:c>
      <x:c r="R199" s="21" t="n">
        <x:v>0</x:v>
      </x:c>
      <x:c r="S199" s="17" t="str">
        <x:v>유성구 분식</x:v>
      </x:c>
      <x:c r="T199" s="22" t="n">
        <x:v>36.3744426</x:v>
      </x:c>
      <x:c r="U199" s="22" t="n">
        <x:v>127.3204643</x:v>
      </x:c>
    </x:row>
    <x:row r="200" ht="32" customHeight="1">
      <x:c r="A200" s="18" t="str">
        <x:v>pending</x:v>
      </x:c>
      <x:c r="B200" s="18" t="str">
        <x:v>유성구</x:v>
      </x:c>
      <x:c r="C200" s="17" t="str">
        <x:v>오거리회관</x:v>
      </x:c>
      <x:c r="D200" s="17" t="str">
        <x:v>음식점&gt;한식</x:v>
      </x:c>
      <x:c r="E200" s="19" t="n">
        <x:v>50</x:v>
      </x:c>
      <x:c r="F200" s="17" t="str">
        <x:v>최근 12개월 블로그 44건</x:v>
      </x:c>
      <x:c r="G200" s="17" t="str">
        <x:v>대전광역시 유성구 원내동 206-3 206-3번지</x:v>
      </x:c>
      <x:c r="H200" s="17" t="str">
        <x:v>대전광역시 유성구 진잠로140번길 63 원내동206-3번지</x:v>
      </x:c>
      <x:c r="I200" s="18" t="e">
        <x:f>HYPERLINK("https://search.naver.com/search.naver?where=blog&amp;query=%EC%98%A4%EA%B1%B0%EB%A6%AC%ED%9A%8C%EA%B4%80+%EC%9B%90%EB%82%B4%EB%8F%99","블로그 보기")</x:f>
        <x:v>HYPERLINK is not implemented. linkLocation=https://search.naver.com/search.naver?where=blog&amp;query=%EC%98%A4%EA%B1%B0%EB%A6%AC%ED%9A%8C%EA%B4%80+%EC%9B%90%EB%82%B4%EB%8F%99, friendlyName=블로그 보기</x:v>
      </x:c>
      <x:c r="J200" s="18" t="str"/>
      <x:c r="K200" s="18" t="str"/>
      <x:c r="L200" s="17" t="str"/>
      <x:c r="M200" s="20" t="n">
        <x:v>46221</x:v>
      </x:c>
      <x:c r="N200" s="21" t="n">
        <x:v>44</x:v>
      </x:c>
      <x:c r="O200" s="21" t="n">
        <x:v>59</x:v>
      </x:c>
      <x:c r="P200" s="21" t="n">
        <x:v>128</x:v>
      </x:c>
      <x:c r="Q200" s="21" t="n">
        <x:v>1</x:v>
      </x:c>
      <x:c r="R200" s="21" t="n">
        <x:v>0</x:v>
      </x:c>
      <x:c r="S200" s="17" t="str">
        <x:v>유성구 삼계탕</x:v>
      </x:c>
      <x:c r="T200" s="22" t="n">
        <x:v>36.3004101</x:v>
      </x:c>
      <x:c r="U200" s="22" t="n">
        <x:v>127.3178442</x:v>
      </x:c>
    </x:row>
    <x:row r="201" ht="32" customHeight="1">
      <x:c r="A201" s="18" t="str">
        <x:v>pending</x:v>
      </x:c>
      <x:c r="B201" s="18" t="str">
        <x:v>유성구</x:v>
      </x:c>
      <x:c r="C201" s="17" t="str">
        <x:v>오쿠바</x:v>
      </x:c>
      <x:c r="D201" s="17" t="str">
        <x:v>술집&gt;오뎅,꼬치</x:v>
      </x:c>
      <x:c r="E201" s="19" t="n">
        <x:v>50</x:v>
      </x:c>
      <x:c r="F201" s="17" t="str">
        <x:v>최근 12개월 블로그 26건</x:v>
      </x:c>
      <x:c r="G201" s="17" t="str">
        <x:v>대전광역시 유성구 어은동 101-14 102호 오쿠바</x:v>
      </x:c>
      <x:c r="H201" s="17" t="str">
        <x:v>대전광역시 유성구 어은로51번길 44 102호 오쿠바</x:v>
      </x:c>
      <x:c r="I201" s="18" t="e">
        <x:f>HYPERLINK("https://search.naver.com/search.naver?where=blog&amp;query=%EC%98%A4%EC%BF%A0%EB%B0%94+%EC%9C%A0%EC%84%B1%EA%B5%AC","블로그 보기")</x:f>
        <x:v>HYPERLINK is not implemented. linkLocation=https://search.naver.com/search.naver?where=blog&amp;query=%EC%98%A4%EC%BF%A0%EB%B0%94+%EC%9C%A0%EC%84%B1%EA%B5%AC, friendlyName=블로그 보기</x:v>
      </x:c>
      <x:c r="J201" s="18" t="e">
        <x:f>HYPERLINK("https://www.instagram.com/osakaload","업체 보기")</x:f>
        <x:v>HYPERLINK is not implemented. linkLocation=https://www.instagram.com/osakaload, friendlyName=업체 보기</x:v>
      </x:c>
      <x:c r="K201" s="18" t="str"/>
      <x:c r="L201" s="17" t="str"/>
      <x:c r="M201" s="20" t="n">
        <x:v>46218</x:v>
      </x:c>
      <x:c r="N201" s="21" t="n">
        <x:v>26</x:v>
      </x:c>
      <x:c r="O201" s="21" t="n">
        <x:v>98</x:v>
      </x:c>
      <x:c r="P201" s="21" t="n">
        <x:v>111</x:v>
      </x:c>
      <x:c r="Q201" s="21" t="n">
        <x:v>1</x:v>
      </x:c>
      <x:c r="R201" s="21" t="n">
        <x:v>0</x:v>
      </x:c>
      <x:c r="S201" s="17" t="str">
        <x:v>어은동 맛집</x:v>
      </x:c>
      <x:c r="T201" s="22" t="n">
        <x:v>36.3620992</x:v>
      </x:c>
      <x:c r="U201" s="22" t="n">
        <x:v>127.3545423</x:v>
      </x:c>
    </x:row>
    <x:row r="202" ht="32" customHeight="1">
      <x:c r="A202" s="18" t="str">
        <x:v>pending</x:v>
      </x:c>
      <x:c r="B202" s="18" t="str">
        <x:v>동구</x:v>
      </x:c>
      <x:c r="C202" s="17" t="str">
        <x:v>도심회관식당 대전본점</x:v>
      </x:c>
      <x:c r="D202" s="17" t="str">
        <x:v>음식점&gt;한식</x:v>
      </x:c>
      <x:c r="E202" s="19" t="n">
        <x:v>86</x:v>
      </x:c>
      <x:c r="F202" s="17" t="str">
        <x:v>지역성: 본점, 대전; 최근 12개월 블로그 100건</x:v>
      </x:c>
      <x:c r="G202" s="17" t="str">
        <x:v>대전광역시 동구 중동 22-4 도심회관식당</x:v>
      </x:c>
      <x:c r="H202" s="17" t="str">
        <x:v>대전광역시 동구 대전로813번길 14 도심회관식당</x:v>
      </x:c>
      <x:c r="I202" s="18" t="e">
        <x:f>HYPERLINK("https://search.naver.com/search.naver?where=blog&amp;query=%EB%8F%84%EC%8B%AC%ED%9A%8C%EA%B4%80%EC%8B%9D%EB%8B%B9+%EB%8C%80%EC%A0%84%EB%B3%B8%EC%A0%90+%EB%8F%99%EA%B5%AC","블로그 보기")</x:f>
        <x:v>HYPERLINK is not implemented. linkLocation=https://search.naver.com/search.naver?where=blog&amp;query=%EB%8F%84%EC%8B%AC%ED%9A%8C%EA%B4%80%EC%8B%9D%EB%8B%B9+%EB%8C%80%EC%A0%84%EB%B3%B8%EC%A0%90+%EB%8F%99%EA%B5%AC, friendlyName=블로그 보기</x:v>
      </x:c>
      <x:c r="J202" s="18" t="str"/>
      <x:c r="K202" s="18" t="str"/>
      <x:c r="L202" s="17" t="str"/>
      <x:c r="M202" s="20" t="n">
        <x:v>46221</x:v>
      </x:c>
      <x:c r="N202" s="21" t="n">
        <x:v>100</x:v>
      </x:c>
      <x:c r="O202" s="21" t="n">
        <x:v>96</x:v>
      </x:c>
      <x:c r="P202" s="21" t="n">
        <x:v>3369</x:v>
      </x:c>
      <x:c r="Q202" s="21" t="n">
        <x:v>5</x:v>
      </x:c>
      <x:c r="R202" s="21" t="n">
        <x:v>2</x:v>
      </x:c>
      <x:c r="S202" s="17" t="str">
        <x:v>대전역 노포 | 대전역 삼계탕 | 소제동 삼계탕</x:v>
      </x:c>
      <x:c r="T202" s="22" t="n">
        <x:v>36.3318717</x:v>
      </x:c>
      <x:c r="U202" s="22" t="n">
        <x:v>127.4312622</x:v>
      </x:c>
    </x:row>
    <x:row r="203" ht="32" customHeight="1">
      <x:c r="A203" s="18" t="str">
        <x:v>pending</x:v>
      </x:c>
      <x:c r="B203" s="18" t="str">
        <x:v>동구</x:v>
      </x:c>
      <x:c r="C203" s="17" t="str">
        <x:v>비범</x:v>
      </x:c>
      <x:c r="D203" s="17" t="str">
        <x:v>음식점&gt;한식</x:v>
      </x:c>
      <x:c r="E203" s="19" t="n">
        <x:v>84</x:v>
      </x:c>
      <x:c r="F203" s="17" t="str">
        <x:v>최근 12개월 블로그 100건</x:v>
      </x:c>
      <x:c r="G203" s="17" t="str">
        <x:v>대전광역시 동구 소제동 299-85 단독채</x:v>
      </x:c>
      <x:c r="H203" s="17" t="str">
        <x:v>대전광역시 동구 수향길 99 단독채</x:v>
      </x:c>
      <x:c r="I203" s="18" t="e">
        <x:f>HYPERLINK("https://search.naver.com/search.naver?where=blog&amp;query=%EB%B9%84%EB%B2%94+%EB%8F%99%EA%B5%AC","블로그 보기")</x:f>
        <x:v>HYPERLINK is not implemented. linkLocation=https://search.naver.com/search.naver?where=blog&amp;query=%EB%B9%84%EB%B2%94+%EB%8F%99%EA%B5%AC, friendlyName=블로그 보기</x:v>
      </x:c>
      <x:c r="J203" s="18" t="e">
        <x:f>HYPERLINK("https://bebeom.com","업체 보기")</x:f>
        <x:v>HYPERLINK is not implemented. linkLocation=https://bebeom.com, friendlyName=업체 보기</x:v>
      </x:c>
      <x:c r="K203" s="18" t="str"/>
      <x:c r="L203" s="17" t="str"/>
      <x:c r="M203" s="20" t="n">
        <x:v>46222</x:v>
      </x:c>
      <x:c r="N203" s="21" t="n">
        <x:v>100</x:v>
      </x:c>
      <x:c r="O203" s="21" t="n">
        <x:v>93</x:v>
      </x:c>
      <x:c r="P203" s="21" t="n">
        <x:v>1720</x:v>
      </x:c>
      <x:c r="Q203" s="21" t="n">
        <x:v>10</x:v>
      </x:c>
      <x:c r="R203" s="21" t="n">
        <x:v>7</x:v>
      </x:c>
      <x:c r="S203" s="17" t="str">
        <x:v>대전역 고기 | 대전역 국밥 | 대전역 한식 | 소제동 고기 | 소제동 국밥 | 소제동 맛집 | 소제동 한식</x:v>
      </x:c>
      <x:c r="T203" s="22" t="n">
        <x:v>36.3359679</x:v>
      </x:c>
      <x:c r="U203" s="22" t="n">
        <x:v>127.4372593</x:v>
      </x:c>
    </x:row>
    <x:row r="204" ht="32" customHeight="1">
      <x:c r="A204" s="18" t="str">
        <x:v>pending</x:v>
      </x:c>
      <x:c r="B204" s="18" t="str">
        <x:v>동구</x:v>
      </x:c>
      <x:c r="C204" s="17" t="str">
        <x:v>김화칼국수</x:v>
      </x:c>
      <x:c r="D204" s="17" t="str">
        <x:v>한식&gt;칼국수,만두</x:v>
      </x:c>
      <x:c r="E204" s="19" t="n">
        <x:v>83</x:v>
      </x:c>
      <x:c r="F204" s="17" t="str">
        <x:v>지역성: 칼국수; 최근 12개월 블로그 100건</x:v>
      </x:c>
      <x:c r="G204" s="17" t="str">
        <x:v>대전광역시 동구 중동 22-3</x:v>
      </x:c>
      <x:c r="H204" s="17" t="str">
        <x:v>대전광역시 동구 중앙로203번길 28</x:v>
      </x:c>
      <x:c r="I204" s="18" t="e">
        <x:f>HYPERLINK("https://search.naver.com/search.naver?where=blog&amp;query=%EA%B9%80%ED%99%94%EC%B9%BC%EA%B5%AD%EC%88%98+%EB%8F%99%EA%B5%AC","블로그 보기")</x:f>
        <x:v>HYPERLINK is not implemented. linkLocation=https://search.naver.com/search.naver?where=blog&amp;query=%EA%B9%80%ED%99%94%EC%B9%BC%EA%B5%AD%EC%88%98+%EB%8F%99%EA%B5%AC, friendlyName=블로그 보기</x:v>
      </x:c>
      <x:c r="J204" s="18" t="str"/>
      <x:c r="K204" s="18" t="str"/>
      <x:c r="L204" s="17" t="str"/>
      <x:c r="M204" s="20" t="n">
        <x:v>46221</x:v>
      </x:c>
      <x:c r="N204" s="21" t="n">
        <x:v>100</x:v>
      </x:c>
      <x:c r="O204" s="21" t="n">
        <x:v>97</x:v>
      </x:c>
      <x:c r="P204" s="21" t="n">
        <x:v>1439</x:v>
      </x:c>
      <x:c r="Q204" s="21" t="n">
        <x:v>8</x:v>
      </x:c>
      <x:c r="R204" s="21" t="n">
        <x:v>3</x:v>
      </x:c>
      <x:c r="S204" s="17" t="str">
        <x:v>대전역 국밥 | 대전역 맛집 | 대전역 칼국수 | 대전역 한식 | 소제동 칼국수</x:v>
      </x:c>
      <x:c r="T204" s="22" t="n">
        <x:v>36.3320442</x:v>
      </x:c>
      <x:c r="U204" s="22" t="n">
        <x:v>127.4310084</x:v>
      </x:c>
    </x:row>
    <x:row r="205" ht="32" customHeight="1">
      <x:c r="A205" s="18" t="str">
        <x:v>pending</x:v>
      </x:c>
      <x:c r="B205" s="18" t="str">
        <x:v>동구</x:v>
      </x:c>
      <x:c r="C205" s="17" t="str">
        <x:v>별난집</x:v>
      </x:c>
      <x:c r="D205" s="17" t="str">
        <x:v>음식점&gt;한식</x:v>
      </x:c>
      <x:c r="E205" s="19" t="n">
        <x:v>83</x:v>
      </x:c>
      <x:c r="F205" s="17" t="str">
        <x:v>최근 12개월 블로그 100건</x:v>
      </x:c>
      <x:c r="G205" s="17" t="str">
        <x:v>대전광역시 동구 중동 60-4 1층 별난집</x:v>
      </x:c>
      <x:c r="H205" s="17" t="str">
        <x:v>대전광역시 동구 중앙로193번길 8 1층 별난집</x:v>
      </x:c>
      <x:c r="I205" s="18" t="e">
        <x:f>HYPERLINK("https://search.naver.com/search.naver?where=blog&amp;query=%EB%B3%84%EB%82%9C%EC%A7%91+%EB%8F%99%EA%B5%AC","블로그 보기")</x:f>
        <x:v>HYPERLINK is not implemented. linkLocation=https://search.naver.com/search.naver?where=blog&amp;query=%EB%B3%84%EB%82%9C%EC%A7%91+%EB%8F%99%EA%B5%AC, friendlyName=블로그 보기</x:v>
      </x:c>
      <x:c r="J205" s="18" t="e">
        <x:f>HYPERLINK("https://www.instagram.com/byeolnanjip.daejeon","업체 보기")</x:f>
        <x:v>HYPERLINK is not implemented. linkLocation=https://www.instagram.com/byeolnanjip.daejeon, friendlyName=업체 보기</x:v>
      </x:c>
      <x:c r="K205" s="18" t="str"/>
      <x:c r="L205" s="17" t="str"/>
      <x:c r="M205" s="20" t="n">
        <x:v>46222</x:v>
      </x:c>
      <x:c r="N205" s="21" t="n">
        <x:v>100</x:v>
      </x:c>
      <x:c r="O205" s="21" t="n">
        <x:v>99</x:v>
      </x:c>
      <x:c r="P205" s="21" t="n">
        <x:v>898</x:v>
      </x:c>
      <x:c r="Q205" s="21" t="n">
        <x:v>12</x:v>
      </x:c>
      <x:c r="R205" s="21" t="n">
        <x:v>5</x:v>
      </x:c>
      <x:c r="S205" s="17" t="str">
        <x:v>대전역 고기 | 대전역 노포 | 대전역 두부두루치기 | 대전역 삼계탕 | 소제동 노포 | 소제동 두부두루치기 | 소제동 삼계탕</x:v>
      </x:c>
      <x:c r="T205" s="22" t="n">
        <x:v>36.3309853</x:v>
      </x:c>
      <x:c r="U205" s="22" t="n">
        <x:v>127.4307603</x:v>
      </x:c>
    </x:row>
    <x:row r="206" ht="32" customHeight="1">
      <x:c r="A206" s="18" t="str">
        <x:v>pending</x:v>
      </x:c>
      <x:c r="B206" s="18" t="str">
        <x:v>동구</x:v>
      </x:c>
      <x:c r="C206" s="17" t="str">
        <x:v>얼큰이손칼국수</x:v>
      </x:c>
      <x:c r="D206" s="17" t="str">
        <x:v>한식&gt;칼국수,만두</x:v>
      </x:c>
      <x:c r="E206" s="19" t="n">
        <x:v>80</x:v>
      </x:c>
      <x:c r="F206" s="17" t="str">
        <x:v>지역성: 칼국수; 최근 12개월 블로그 21건</x:v>
      </x:c>
      <x:c r="G206" s="17" t="str">
        <x:v>대전광역시 동구 용운동 451-5</x:v>
      </x:c>
      <x:c r="H206" s="17" t="str">
        <x:v>대전광역시 동구 용운로 97</x:v>
      </x:c>
      <x:c r="I206" s="18" t="e">
        <x:f>HYPERLINK("https://search.naver.com/search.naver?where=blog&amp;query=%EC%96%BC%ED%81%B0%EC%9D%B4%EC%86%90%EC%B9%BC%EA%B5%AD%EC%88%98+%EB%8F%99%EA%B5%AC","블로그 보기")</x:f>
        <x:v>HYPERLINK is not implemented. linkLocation=https://search.naver.com/search.naver?where=blog&amp;query=%EC%96%BC%ED%81%B0%EC%9D%B4%EC%86%90%EC%B9%BC%EA%B5%AD%EC%88%98+%EB%8F%99%EA%B5%AC, friendlyName=블로그 보기</x:v>
      </x:c>
      <x:c r="J206" s="18" t="e">
        <x:f>HYPERLINK("https://www.instagram.com/","업체 보기")</x:f>
        <x:v>HYPERLINK is not implemented. linkLocation=https://www.instagram.com/, friendlyName=업체 보기</x:v>
      </x:c>
      <x:c r="K206" s="18" t="str"/>
      <x:c r="L206" s="17" t="str"/>
      <x:c r="M206" s="20" t="n">
        <x:v>46220</x:v>
      </x:c>
      <x:c r="N206" s="21" t="n">
        <x:v>21</x:v>
      </x:c>
      <x:c r="O206" s="21" t="n">
        <x:v>95</x:v>
      </x:c>
      <x:c r="P206" s="21" t="n">
        <x:v>177</x:v>
      </x:c>
      <x:c r="Q206" s="21" t="n">
        <x:v>5</x:v>
      </x:c>
      <x:c r="R206" s="21" t="n">
        <x:v>3</x:v>
      </x:c>
      <x:c r="S206" s="17" t="str">
        <x:v>용운동 두부두루치기 | 용운동 칼국수 | 용운동 한식</x:v>
      </x:c>
      <x:c r="T206" s="22" t="n">
        <x:v>36.3276757</x:v>
      </x:c>
      <x:c r="U206" s="22" t="n">
        <x:v>127.4531322</x:v>
      </x:c>
    </x:row>
    <x:row r="207" ht="32" customHeight="1">
      <x:c r="A207" s="18" t="str">
        <x:v>pending</x:v>
      </x:c>
      <x:c r="B207" s="18" t="str">
        <x:v>동구</x:v>
      </x:c>
      <x:c r="C207" s="17" t="str">
        <x:v>전봇대 숯불 오겹</x:v>
      </x:c>
      <x:c r="D207" s="17" t="str">
        <x:v>한식&gt;육류,고기요리</x:v>
      </x:c>
      <x:c r="E207" s="19" t="n">
        <x:v>80</x:v>
      </x:c>
      <x:c r="F207" s="17" t="str">
        <x:v>최근 12개월 블로그 39건</x:v>
      </x:c>
      <x:c r="G207" s="17" t="str">
        <x:v>대전광역시 동구 용운동 382-9 1층</x:v>
      </x:c>
      <x:c r="H207" s="17" t="str">
        <x:v>대전광역시 동구 새울로81번길 36-2 1층</x:v>
      </x:c>
      <x:c r="I207" s="18" t="e">
        <x:f>HYPERLINK("https://search.naver.com/search.naver?where=blog&amp;query=%EC%A0%84%EB%B4%87%EB%8C%80+%EC%88%AF%EB%B6%88+%EC%98%A4%EA%B2%B9+%EB%8F%99%EA%B5%AC","블로그 보기")</x:f>
        <x:v>HYPERLINK is not implemented. linkLocation=https://search.naver.com/search.naver?where=blog&amp;query=%EC%A0%84%EB%B4%87%EB%8C%80+%EC%88%AF%EB%B6%88+%EC%98%A4%EA%B2%B9+%EB%8F%99%EA%B5%AC, friendlyName=블로그 보기</x:v>
      </x:c>
      <x:c r="J207" s="18" t="e">
        <x:f>HYPERLINK("https://www.instagram.com/jbd.8686","업체 보기")</x:f>
        <x:v>HYPERLINK is not implemented. linkLocation=https://www.instagram.com/jbd.8686, friendlyName=업체 보기</x:v>
      </x:c>
      <x:c r="K207" s="18" t="str"/>
      <x:c r="L207" s="17" t="str"/>
      <x:c r="M207" s="20" t="n">
        <x:v>46223</x:v>
      </x:c>
      <x:c r="N207" s="21" t="n">
        <x:v>39</x:v>
      </x:c>
      <x:c r="O207" s="21" t="n">
        <x:v>54</x:v>
      </x:c>
      <x:c r="P207" s="21" t="n">
        <x:v>59</x:v>
      </x:c>
      <x:c r="Q207" s="21" t="n">
        <x:v>9</x:v>
      </x:c>
      <x:c r="R207" s="21" t="n">
        <x:v>5</x:v>
      </x:c>
      <x:c r="S207" s="17" t="str">
        <x:v>용운동 고기 | 용운동 두부두루치기 | 용운동 맛집 | 용운동 칼국수 | 용운동 한식</x:v>
      </x:c>
      <x:c r="T207" s="22" t="n">
        <x:v>36.3250558</x:v>
      </x:c>
      <x:c r="U207" s="22" t="n">
        <x:v>127.4599781</x:v>
      </x:c>
    </x:row>
    <x:row r="208" ht="32" customHeight="1">
      <x:c r="A208" s="18" t="str">
        <x:v>pending</x:v>
      </x:c>
      <x:c r="B208" s="18" t="str">
        <x:v>동구</x:v>
      </x:c>
      <x:c r="C208" s="17" t="str">
        <x:v>온천집</x:v>
      </x:c>
      <x:c r="D208" s="17" t="str">
        <x:v>음식점&gt;일식&gt;샤브샤브</x:v>
      </x:c>
      <x:c r="E208" s="19" t="n">
        <x:v>77</x:v>
      </x:c>
      <x:c r="F208" s="17" t="str">
        <x:v>최근 12개월 블로그 63건</x:v>
      </x:c>
      <x:c r="G208" s="17" t="str">
        <x:v>대전광역시 동구 소제동 299-69 온천집</x:v>
      </x:c>
      <x:c r="H208" s="17" t="str">
        <x:v>대전광역시 동구 수향길 17 온천집</x:v>
      </x:c>
      <x:c r="I208" s="18" t="e">
        <x:f>HYPERLINK("https://search.naver.com/search.naver?where=blog&amp;query=%EC%98%A8%EC%B2%9C%EC%A7%91+%EB%8F%99%EA%B5%AC","블로그 보기")</x:f>
        <x:v>HYPERLINK is not implemented. linkLocation=https://search.naver.com/search.naver?where=blog&amp;query=%EC%98%A8%EC%B2%9C%EC%A7%91+%EB%8F%99%EA%B5%AC, friendlyName=블로그 보기</x:v>
      </x:c>
      <x:c r="J208" s="18" t="e">
        <x:f>HYPERLINK("https://www.instagram.com/oncheonjip_soje?igsh=MTd2aXVmcWJlb25pNQ%3D%3D&amp;utm_source=qr","업체 보기")</x:f>
        <x:v>HYPERLINK is not implemented. linkLocation=https://www.instagram.com/oncheonjip_soje?igsh=MTd2aXVmcWJlb25pNQ%3D%3D&amp;utm_source=qr, friendlyName=업체 보기</x:v>
      </x:c>
      <x:c r="K208" s="18" t="str"/>
      <x:c r="L208" s="17" t="str"/>
      <x:c r="M208" s="20" t="n">
        <x:v>46216</x:v>
      </x:c>
      <x:c r="N208" s="21" t="n">
        <x:v>63</x:v>
      </x:c>
      <x:c r="O208" s="21" t="n">
        <x:v>99</x:v>
      </x:c>
      <x:c r="P208" s="21" t="n">
        <x:v>886</x:v>
      </x:c>
      <x:c r="Q208" s="21" t="n">
        <x:v>6</x:v>
      </x:c>
      <x:c r="R208" s="21" t="n">
        <x:v>3</x:v>
      </x:c>
      <x:c r="S208" s="17" t="str">
        <x:v>소제동 고기 | 소제동 일식 | 소제동 칼국수</x:v>
      </x:c>
      <x:c r="T208" s="22" t="n">
        <x:v>36.3367741</x:v>
      </x:c>
      <x:c r="U208" s="22" t="n">
        <x:v>127.4369596</x:v>
      </x:c>
    </x:row>
    <x:row r="209" ht="32" customHeight="1">
      <x:c r="A209" s="18" t="str">
        <x:v>pending</x:v>
      </x:c>
      <x:c r="B209" s="18" t="str">
        <x:v>동구</x:v>
      </x:c>
      <x:c r="C209" s="17" t="str">
        <x:v>명륜진사갈비 대전용운점</x:v>
      </x:c>
      <x:c r="D209" s="17" t="str">
        <x:v>한식&gt;육류,고기요리</x:v>
      </x:c>
      <x:c r="E209" s="19" t="n">
        <x:v>75</x:v>
      </x:c>
      <x:c r="F209" s="17" t="str">
        <x:v>지역성: 대전; 최근 12개월 블로그 60건</x:v>
      </x:c>
      <x:c r="G209" s="17" t="str">
        <x:v>대전광역시 동구 용운동 317-4 1층</x:v>
      </x:c>
      <x:c r="H209" s="17" t="str">
        <x:v>대전광역시 동구 동부로 99 1층</x:v>
      </x:c>
      <x:c r="I209" s="18" t="e">
        <x:f>HYPERLINK("https://search.naver.com/search.naver?where=blog&amp;query=%EB%AA%85%EB%A5%9C%EC%A7%84%EC%82%AC%EA%B0%88%EB%B9%84+%EB%8C%80%EC%A0%84%EC%9A%A9%EC%9A%B4%EC%A0%90+%EB%8F%99%EA%B5%AC","블로그 보기")</x:f>
        <x:v>HYPERLINK is not implemented. linkLocation=https://search.naver.com/search.naver?where=blog&amp;query=%EB%AA%85%EB%A5%9C%EC%A7%84%EC%82%AC%EA%B0%88%EB%B9%84+%EB%8C%80%EC%A0%84%EC%9A%A9%EC%9A%B4%EC%A0%90+%EB%8F%99%EA%B5%AC, friendlyName=블로그 보기</x:v>
      </x:c>
      <x:c r="J209" s="18" t="e">
        <x:f>HYPERLINK("https://blog.naver.com/jinsafd","업체 보기")</x:f>
        <x:v>HYPERLINK is not implemented. linkLocation=https://blog.naver.com/jinsafd, friendlyName=업체 보기</x:v>
      </x:c>
      <x:c r="K209" s="18" t="str"/>
      <x:c r="L209" s="17" t="str"/>
      <x:c r="M209" s="20" t="n">
        <x:v>46195</x:v>
      </x:c>
      <x:c r="N209" s="21" t="n">
        <x:v>60</x:v>
      </x:c>
      <x:c r="O209" s="21" t="n">
        <x:v>88</x:v>
      </x:c>
      <x:c r="P209" s="21" t="n">
        <x:v>485</x:v>
      </x:c>
      <x:c r="Q209" s="21" t="n">
        <x:v>4</x:v>
      </x:c>
      <x:c r="R209" s="21" t="n">
        <x:v>2</x:v>
      </x:c>
      <x:c r="S209" s="17" t="str">
        <x:v>용운동 고기 | 용운동 한식</x:v>
      </x:c>
      <x:c r="T209" s="22" t="n">
        <x:v>36.3226879</x:v>
      </x:c>
      <x:c r="U209" s="22" t="n">
        <x:v>127.4627201</x:v>
      </x:c>
    </x:row>
    <x:row r="210" ht="32" customHeight="1">
      <x:c r="A210" s="18" t="str">
        <x:v>pending</x:v>
      </x:c>
      <x:c r="B210" s="18" t="str">
        <x:v>동구</x:v>
      </x:c>
      <x:c r="C210" s="17" t="str">
        <x:v>한밭대가</x:v>
      </x:c>
      <x:c r="D210" s="17" t="str">
        <x:v>한식&gt;백숙,삼계탕</x:v>
      </x:c>
      <x:c r="E210" s="19" t="n">
        <x:v>75</x:v>
      </x:c>
      <x:c r="F210" s="17" t="str">
        <x:v>최근 12개월 블로그 100건</x:v>
      </x:c>
      <x:c r="G210" s="17" t="str">
        <x:v>대전광역시 동구 신안동 225-4 1층</x:v>
      </x:c>
      <x:c r="H210" s="17" t="str">
        <x:v>대전광역시 동구 동광장로 45 1층</x:v>
      </x:c>
      <x:c r="I210" s="18" t="e">
        <x:f>HYPERLINK("https://search.naver.com/search.naver?where=blog&amp;query=%ED%95%9C%EB%B0%AD%EB%8C%80%EA%B0%80+%EB%8F%99%EA%B5%AC","블로그 보기")</x:f>
        <x:v>HYPERLINK is not implemented. linkLocation=https://search.naver.com/search.naver?where=blog&amp;query=%ED%95%9C%EB%B0%AD%EB%8C%80%EA%B0%80+%EB%8F%99%EA%B5%AC, friendlyName=블로그 보기</x:v>
      </x:c>
      <x:c r="J210" s="18" t="e">
        <x:f>HYPERLINK("http://한밭대가.com","업체 보기")</x:f>
        <x:v>HYPERLINK is not implemented. linkLocation=http://한밭대가.com, friendlyName=업체 보기</x:v>
      </x:c>
      <x:c r="K210" s="18" t="str"/>
      <x:c r="L210" s="17" t="str"/>
      <x:c r="M210" s="20" t="n">
        <x:v>46223</x:v>
      </x:c>
      <x:c r="N210" s="21" t="n">
        <x:v>100</x:v>
      </x:c>
      <x:c r="O210" s="21" t="n">
        <x:v>93</x:v>
      </x:c>
      <x:c r="P210" s="21" t="n">
        <x:v>1895</x:v>
      </x:c>
      <x:c r="Q210" s="21" t="n">
        <x:v>5</x:v>
      </x:c>
      <x:c r="R210" s="21" t="n">
        <x:v>2</x:v>
      </x:c>
      <x:c r="S210" s="17" t="str">
        <x:v>대전역 삼계탕 | 소제동 삼계탕 | 용운동 삼계탕</x:v>
      </x:c>
      <x:c r="T210" s="22" t="n">
        <x:v>36.332145</x:v>
      </x:c>
      <x:c r="U210" s="22" t="n">
        <x:v>127.4376384</x:v>
      </x:c>
    </x:row>
    <x:row r="211" ht="32" customHeight="1">
      <x:c r="A211" s="18" t="str">
        <x:v>pending</x:v>
      </x:c>
      <x:c r="B211" s="18" t="str">
        <x:v>동구</x:v>
      </x:c>
      <x:c r="C211" s="17" t="str">
        <x:v>마성소국밥 대전역점</x:v>
      </x:c>
      <x:c r="D211" s="17" t="str">
        <x:v>음식점&gt;한식</x:v>
      </x:c>
      <x:c r="E211" s="19" t="n">
        <x:v>73</x:v>
      </x:c>
      <x:c r="F211" s="17" t="str">
        <x:v>지역성: 대전; 최근 12개월 블로그 100건</x:v>
      </x:c>
      <x:c r="G211" s="17" t="str">
        <x:v>대전광역시 동구 중동 94-1</x:v>
      </x:c>
      <x:c r="H211" s="17" t="str">
        <x:v>대전광역시 동구 중앙로200번길 3</x:v>
      </x:c>
      <x:c r="I211" s="18" t="e">
        <x:f>HYPERLINK("https://search.naver.com/search.naver?where=blog&amp;query=%EB%A7%88%EC%84%B1%EC%86%8C%EA%B5%AD%EB%B0%A5+%EB%8C%80%EC%A0%84%EC%97%AD%EC%A0%90+%EB%8F%99%EA%B5%AC","블로그 보기")</x:f>
        <x:v>HYPERLINK is not implemented. linkLocation=https://search.naver.com/search.naver?where=blog&amp;query=%EB%A7%88%EC%84%B1%EC%86%8C%EA%B5%AD%EB%B0%A5+%EB%8C%80%EC%A0%84%EC%97%AD%EC%A0%90+%EB%8F%99%EA%B5%AC, friendlyName=블로그 보기</x:v>
      </x:c>
      <x:c r="J211" s="18" t="str"/>
      <x:c r="K211" s="18" t="str"/>
      <x:c r="L211" s="17" t="str"/>
      <x:c r="M211" s="20" t="n">
        <x:v>46220</x:v>
      </x:c>
      <x:c r="N211" s="21" t="n">
        <x:v>100</x:v>
      </x:c>
      <x:c r="O211" s="21" t="n">
        <x:v>95</x:v>
      </x:c>
      <x:c r="P211" s="21" t="n">
        <x:v>1027</x:v>
      </x:c>
      <x:c r="Q211" s="21" t="n">
        <x:v>4</x:v>
      </x:c>
      <x:c r="R211" s="21" t="n">
        <x:v>1</x:v>
      </x:c>
      <x:c r="S211" s="17" t="str">
        <x:v>대전역 고기 | 대전역 국밥 | 소제동 국밥</x:v>
      </x:c>
      <x:c r="T211" s="22" t="n">
        <x:v>36.3306483</x:v>
      </x:c>
      <x:c r="U211" s="22" t="n">
        <x:v>127.4316214</x:v>
      </x:c>
    </x:row>
    <x:row r="212" ht="32" customHeight="1">
      <x:c r="A212" s="18" t="str">
        <x:v>pending</x:v>
      </x:c>
      <x:c r="B212" s="18" t="str">
        <x:v>동구</x:v>
      </x:c>
      <x:c r="C212" s="17" t="str">
        <x:v>고향촌칼국수</x:v>
      </x:c>
      <x:c r="D212" s="17" t="str">
        <x:v>한식&gt;칼국수,만두</x:v>
      </x:c>
      <x:c r="E212" s="19" t="n">
        <x:v>72</x:v>
      </x:c>
      <x:c r="F212" s="17" t="str">
        <x:v>지역성: 칼국수; 최근 12개월 블로그 9건</x:v>
      </x:c>
      <x:c r="G212" s="17" t="str">
        <x:v>대전광역시 동구 용운동 558</x:v>
      </x:c>
      <x:c r="H212" s="17" t="str">
        <x:v>대전광역시 동구 대학로 91</x:v>
      </x:c>
      <x:c r="I212" s="18" t="e">
        <x:f>HYPERLINK("https://search.naver.com/search.naver?where=blog&amp;query=%EA%B3%A0%ED%96%A5%EC%B4%8C%EC%B9%BC%EA%B5%AD%EC%88%98+%EB%8F%99%EA%B5%AC","블로그 보기")</x:f>
        <x:v>HYPERLINK is not implemented. linkLocation=https://search.naver.com/search.naver?where=blog&amp;query=%EA%B3%A0%ED%96%A5%EC%B4%8C%EC%B9%BC%EA%B5%AD%EC%88%98+%EB%8F%99%EA%B5%AC, friendlyName=블로그 보기</x:v>
      </x:c>
      <x:c r="J212" s="18" t="str"/>
      <x:c r="K212" s="18" t="str"/>
      <x:c r="L212" s="17" t="str"/>
      <x:c r="M212" s="20" t="n">
        <x:v>46189</x:v>
      </x:c>
      <x:c r="N212" s="21" t="n">
        <x:v>9</x:v>
      </x:c>
      <x:c r="O212" s="21" t="n">
        <x:v>71</x:v>
      </x:c>
      <x:c r="P212" s="21" t="n">
        <x:v>76</x:v>
      </x:c>
      <x:c r="Q212" s="21" t="n">
        <x:v>4</x:v>
      </x:c>
      <x:c r="R212" s="21" t="n">
        <x:v>2</x:v>
      </x:c>
      <x:c r="S212" s="17" t="str">
        <x:v>용운동 칼국수 | 용운동 한식</x:v>
      </x:c>
      <x:c r="T212" s="22" t="n">
        <x:v>36.3378964</x:v>
      </x:c>
      <x:c r="U212" s="22" t="n">
        <x:v>127.4572158</x:v>
      </x:c>
    </x:row>
    <x:row r="213" ht="32" customHeight="1">
      <x:c r="A213" s="18" t="str">
        <x:v>pending</x:v>
      </x:c>
      <x:c r="B213" s="18" t="str">
        <x:v>동구</x:v>
      </x:c>
      <x:c r="C213" s="17" t="str">
        <x:v>대박구이</x:v>
      </x:c>
      <x:c r="D213" s="17" t="str">
        <x:v>한식&gt;조개요리</x:v>
      </x:c>
      <x:c r="E213" s="19" t="n">
        <x:v>72</x:v>
      </x:c>
      <x:c r="F213" s="17" t="str">
        <x:v>최근 12개월 블로그 100건</x:v>
      </x:c>
      <x:c r="G213" s="17" t="str">
        <x:v>대전광역시 동구 가양동 655-25 대박구이</x:v>
      </x:c>
      <x:c r="H213" s="17" t="str">
        <x:v>대전광역시 동구 충정로 128 대박구이</x:v>
      </x:c>
      <x:c r="I213" s="18" t="e">
        <x:f>HYPERLINK("https://search.naver.com/search.naver?where=blog&amp;query=%EB%8C%80%EB%B0%95%EA%B5%AC%EC%9D%B4+%EB%8F%99%EA%B5%AC","블로그 보기")</x:f>
        <x:v>HYPERLINK is not implemented. linkLocation=https://search.naver.com/search.naver?where=blog&amp;query=%EB%8C%80%EB%B0%95%EA%B5%AC%EC%9D%B4+%EB%8F%99%EA%B5%AC, friendlyName=블로그 보기</x:v>
      </x:c>
      <x:c r="J213" s="18" t="str"/>
      <x:c r="K213" s="18" t="str"/>
      <x:c r="L213" s="17" t="str"/>
      <x:c r="M213" s="20" t="n">
        <x:v>46223</x:v>
      </x:c>
      <x:c r="N213" s="21" t="n">
        <x:v>100</x:v>
      </x:c>
      <x:c r="O213" s="21" t="n">
        <x:v>95</x:v>
      </x:c>
      <x:c r="P213" s="21" t="n">
        <x:v>15463</x:v>
      </x:c>
      <x:c r="Q213" s="21" t="n">
        <x:v>4</x:v>
      </x:c>
      <x:c r="R213" s="21" t="n">
        <x:v>2</x:v>
      </x:c>
      <x:c r="S213" s="17" t="str">
        <x:v>소제동 해산물 | 용운동 노포 | 판암동 노포</x:v>
      </x:c>
      <x:c r="T213" s="22" t="n">
        <x:v>36.3434247</x:v>
      </x:c>
      <x:c r="U213" s="22" t="n">
        <x:v>127.4499046</x:v>
      </x:c>
    </x:row>
    <x:row r="214" ht="32" customHeight="1">
      <x:c r="A214" s="18" t="str">
        <x:v>pending</x:v>
      </x:c>
      <x:c r="B214" s="18" t="str">
        <x:v>동구</x:v>
      </x:c>
      <x:c r="C214" s="17" t="str">
        <x:v>대돌배기 판암점</x:v>
      </x:c>
      <x:c r="D214" s="17" t="str">
        <x:v>한식&gt;육류,고기요리</x:v>
      </x:c>
      <x:c r="E214" s="19" t="n">
        <x:v>71</x:v>
      </x:c>
      <x:c r="F214" s="17" t="str">
        <x:v>최근 12개월 블로그 25건</x:v>
      </x:c>
      <x:c r="G214" s="17" t="str">
        <x:v>대전광역시 동구 판암동 865-1 . 1층제101호 제102호</x:v>
      </x:c>
      <x:c r="H214" s="17" t="str">
        <x:v>대전광역시 동구 동부로10번길 52 . 1층제101호 제102호</x:v>
      </x:c>
      <x:c r="I214" s="18" t="e">
        <x:f>HYPERLINK("https://search.naver.com/search.naver?where=blog&amp;query=%EB%8C%80%EB%8F%8C%EB%B0%B0%EA%B8%B0+%ED%8C%90%EC%95%94%EC%A0%90+%EB%8F%99%EA%B5%AC","블로그 보기")</x:f>
        <x:v>HYPERLINK is not implemented. linkLocation=https://search.naver.com/search.naver?where=blog&amp;query=%EB%8C%80%EB%8F%8C%EB%B0%B0%EA%B8%B0+%ED%8C%90%EC%95%94%EC%A0%90+%EB%8F%99%EA%B5%AC, friendlyName=블로그 보기</x:v>
      </x:c>
      <x:c r="J214" s="18" t="str"/>
      <x:c r="K214" s="18" t="str"/>
      <x:c r="L214" s="17" t="str"/>
      <x:c r="M214" s="20" t="n">
        <x:v>46196</x:v>
      </x:c>
      <x:c r="N214" s="21" t="n">
        <x:v>25</x:v>
      </x:c>
      <x:c r="O214" s="21" t="n">
        <x:v>55</x:v>
      </x:c>
      <x:c r="P214" s="21" t="n">
        <x:v>60</x:v>
      </x:c>
      <x:c r="Q214" s="21" t="n">
        <x:v>5</x:v>
      </x:c>
      <x:c r="R214" s="21" t="n">
        <x:v>2</x:v>
      </x:c>
      <x:c r="S214" s="17" t="str">
        <x:v>판암동 맛집 | 판암동 칼국수 | 판암동 한식</x:v>
      </x:c>
      <x:c r="T214" s="22" t="n">
        <x:v>36.3179297</x:v>
      </x:c>
      <x:c r="U214" s="22" t="n">
        <x:v>127.4596047</x:v>
      </x:c>
    </x:row>
    <x:row r="215" ht="32" customHeight="1">
      <x:c r="A215" s="18" t="str">
        <x:v>pending</x:v>
      </x:c>
      <x:c r="B215" s="18" t="str">
        <x:v>동구</x:v>
      </x:c>
      <x:c r="C215" s="17" t="str">
        <x:v>황씨 버섯 샤브샤브칼국수</x:v>
      </x:c>
      <x:c r="D215" s="17" t="str">
        <x:v>한식&gt;칼국수,만두</x:v>
      </x:c>
      <x:c r="E215" s="19" t="n">
        <x:v>71</x:v>
      </x:c>
      <x:c r="F215" s="17" t="str">
        <x:v>지역성: 칼국수; 최근 12개월 블로그 100건</x:v>
      </x:c>
      <x:c r="G215" s="17" t="str">
        <x:v>대전광역시 동구 용운동 354-11 1층</x:v>
      </x:c>
      <x:c r="H215" s="17" t="str">
        <x:v>대전광역시 동구 새울로 90 (용운동) 1층</x:v>
      </x:c>
      <x:c r="I215" s="18" t="e">
        <x:f>HYPERLINK("https://search.naver.com/search.naver?where=blog&amp;query=%ED%99%A9%EC%94%A8+%EB%B2%84%EC%84%AF+%EC%83%A4%EB%B8%8C%EC%83%A4%EB%B8%8C%EC%B9%BC%EA%B5%AD%EC%88%98+%EC%9A%A9%EC%9A%B4%EB%8F%99","블로그 보기")</x:f>
        <x:v>HYPERLINK is not implemented. linkLocation=https://search.naver.com/search.naver?where=blog&amp;query=%ED%99%A9%EC%94%A8+%EB%B2%84%EC%84%AF+%EC%83%A4%EB%B8%8C%EC%83%A4%EB%B8%8C%EC%B9%BC%EA%B5%AD%EC%88%98+%EC%9A%A9%EC%9A%B4%EB%8F%99, friendlyName=블로그 보기</x:v>
      </x:c>
      <x:c r="J215" s="18" t="str"/>
      <x:c r="K215" s="18" t="str"/>
      <x:c r="L215" s="17" t="str"/>
      <x:c r="M215" s="20" t="n">
        <x:v>46221</x:v>
      </x:c>
      <x:c r="N215" s="21" t="n">
        <x:v>100</x:v>
      </x:c>
      <x:c r="O215" s="21" t="n">
        <x:v>96</x:v>
      </x:c>
      <x:c r="P215" s="21" t="n">
        <x:v>718</x:v>
      </x:c>
      <x:c r="Q215" s="21" t="n">
        <x:v>3</x:v>
      </x:c>
      <x:c r="R215" s="21" t="n">
        <x:v>2</x:v>
      </x:c>
      <x:c r="S215" s="17" t="str">
        <x:v>용운동 칼국수 | 용운동 한식</x:v>
      </x:c>
      <x:c r="T215" s="22" t="n">
        <x:v>36.3263915</x:v>
      </x:c>
      <x:c r="U215" s="22" t="n">
        <x:v>127.4617543</x:v>
      </x:c>
    </x:row>
    <x:row r="216" ht="32" customHeight="1">
      <x:c r="A216" s="18" t="str">
        <x:v>pending</x:v>
      </x:c>
      <x:c r="B216" s="18" t="str">
        <x:v>동구</x:v>
      </x:c>
      <x:c r="C216" s="17" t="str">
        <x:v>대전 칼국수 족발 쭈꾸미볶음 본점</x:v>
      </x:c>
      <x:c r="D216" s="17" t="str">
        <x:v>음식점&gt;한식</x:v>
      </x:c>
      <x:c r="E216" s="19" t="n">
        <x:v>69</x:v>
      </x:c>
      <x:c r="F216" s="17" t="str">
        <x:v>지역성: 본점, 대전, 칼국수; 최근 12개월 블로그 100건</x:v>
      </x:c>
      <x:c r="G216" s="17" t="str">
        <x:v>대전광역시 동구 효동 268-16</x:v>
      </x:c>
      <x:c r="H216" s="17" t="str">
        <x:v>대전광역시 동구 대전로 641-1</x:v>
      </x:c>
      <x:c r="I216" s="18" t="e">
        <x:f>HYPERLINK("https://search.naver.com/search.naver?where=blog&amp;query=%EB%8C%80%EC%A0%84+%EC%B9%BC%EA%B5%AD%EC%88%98+%EC%A1%B1%EB%B0%9C+%EC%AD%88%EA%BE%B8%EB%AF%B8%EB%B3%B6%EC%9D%8C+%EB%B3%B8%EC%A0%90+%EB%8F%99%EA%B5%AC","블로그 보기")</x:f>
        <x:v>HYPERLINK is not implemented. linkLocation=https://search.naver.com/search.naver?where=blog&amp;query=%EB%8C%80%EC%A0%84+%EC%B9%BC%EA%B5%AD%EC%88%98+%EC%A1%B1%EB%B0%9C+%EC%AD%88%EA%BE%B8%EB%AF%B8%EB%B3%B6%EC%9D%8C+%EB%B3%B8%EC%A0%90+%EB%8F%99%EA%B5%AC, friendlyName=블로그 보기</x:v>
      </x:c>
      <x:c r="J216" s="18" t="e">
        <x:f>HYPERLINK("https://www.instagram.com/daejeon_kalguksu_jokbal?igsh=bWZ5Mnh5NDJicWI4","업체 보기")</x:f>
        <x:v>HYPERLINK is not implemented. linkLocation=https://www.instagram.com/daejeon_kalguksu_jokbal?igsh=bWZ5Mnh5NDJicWI4, friendlyName=업체 보기</x:v>
      </x:c>
      <x:c r="K216" s="18" t="str"/>
      <x:c r="L216" s="17" t="str"/>
      <x:c r="M216" s="20" t="n">
        <x:v>46223</x:v>
      </x:c>
      <x:c r="N216" s="21" t="n">
        <x:v>100</x:v>
      </x:c>
      <x:c r="O216" s="21" t="n">
        <x:v>65</x:v>
      </x:c>
      <x:c r="P216" s="21" t="n">
        <x:v>7642</x:v>
      </x:c>
      <x:c r="Q216" s="21" t="n">
        <x:v>1</x:v>
      </x:c>
      <x:c r="R216" s="21" t="n">
        <x:v>0</x:v>
      </x:c>
      <x:c r="S216" s="17" t="str">
        <x:v>용운동 두부두루치기</x:v>
      </x:c>
      <x:c r="T216" s="22" t="n">
        <x:v>36.3177958</x:v>
      </x:c>
      <x:c r="U216" s="22" t="n">
        <x:v>127.4392849</x:v>
      </x:c>
    </x:row>
    <x:row r="217" ht="32" customHeight="1">
      <x:c r="A217" s="18" t="str">
        <x:v>pending</x:v>
      </x:c>
      <x:c r="B217" s="18" t="str">
        <x:v>동구</x:v>
      </x:c>
      <x:c r="C217" s="17" t="str">
        <x:v>돈앤삼겹 대전본점</x:v>
      </x:c>
      <x:c r="D217" s="17" t="str">
        <x:v>한식&gt;돼지고기구이</x:v>
      </x:c>
      <x:c r="E217" s="19" t="n">
        <x:v>69</x:v>
      </x:c>
      <x:c r="F217" s="17" t="str">
        <x:v>지역성: 본점, 대전; 최근 12개월 블로그 100건</x:v>
      </x:c>
      <x:c r="G217" s="17" t="str">
        <x:v>대전광역시 동구 용운동 660 1층 돈앤삼겹 대전본점</x:v>
      </x:c>
      <x:c r="H217" s="17" t="str">
        <x:v>대전광역시 동구 대학로 38-1 1층 돈앤삼겹 대전본점</x:v>
      </x:c>
      <x:c r="I217" s="18" t="e">
        <x:f>HYPERLINK("https://search.naver.com/search.naver?where=blog&amp;query=%EB%8F%88%EC%95%A4%EC%82%BC%EA%B2%B9+%EB%8C%80%EC%A0%84%EB%B3%B8%EC%A0%90+%EB%8F%99%EA%B5%AC","블로그 보기")</x:f>
        <x:v>HYPERLINK is not implemented. linkLocation=https://search.naver.com/search.naver?where=blog&amp;query=%EB%8F%88%EC%95%A4%EC%82%BC%EA%B2%B9+%EB%8C%80%EC%A0%84%EB%B3%B8%EC%A0%90+%EB%8F%99%EA%B5%AC, friendlyName=블로그 보기</x:v>
      </x:c>
      <x:c r="J217" s="18" t="e">
        <x:f>HYPERLINK("https://www.instagram.com/don_sam_daejeon","업체 보기")</x:f>
        <x:v>HYPERLINK is not implemented. linkLocation=https://www.instagram.com/don_sam_daejeon, friendlyName=업체 보기</x:v>
      </x:c>
      <x:c r="K217" s="18" t="str"/>
      <x:c r="L217" s="17" t="str"/>
      <x:c r="M217" s="20" t="n">
        <x:v>46211</x:v>
      </x:c>
      <x:c r="N217" s="21" t="n">
        <x:v>100</x:v>
      </x:c>
      <x:c r="O217" s="21" t="n">
        <x:v>97</x:v>
      </x:c>
      <x:c r="P217" s="21" t="n">
        <x:v>655</x:v>
      </x:c>
      <x:c r="Q217" s="21" t="n">
        <x:v>2</x:v>
      </x:c>
      <x:c r="R217" s="21" t="n">
        <x:v>1</x:v>
      </x:c>
      <x:c r="S217" s="17" t="str">
        <x:v>용운동 냉면</x:v>
      </x:c>
      <x:c r="T217" s="22" t="n">
        <x:v>36.3332636</x:v>
      </x:c>
      <x:c r="U217" s="22" t="n">
        <x:v>127.4556971</x:v>
      </x:c>
    </x:row>
    <x:row r="218" ht="32" customHeight="1">
      <x:c r="A218" s="18" t="str">
        <x:v>pending</x:v>
      </x:c>
      <x:c r="B218" s="18" t="str">
        <x:v>동구</x:v>
      </x:c>
      <x:c r="C218" s="17" t="str">
        <x:v>라홍방마라탕 대전용운점</x:v>
      </x:c>
      <x:c r="D218" s="17" t="str">
        <x:v>음식점&gt;마라탕</x:v>
      </x:c>
      <x:c r="E218" s="19" t="n">
        <x:v>69</x:v>
      </x:c>
      <x:c r="F218" s="17" t="str">
        <x:v>지역성: 대전; 최근 12개월 블로그 74건</x:v>
      </x:c>
      <x:c r="G218" s="17" t="str">
        <x:v>대전광역시 동구 용운동 295-10 1층</x:v>
      </x:c>
      <x:c r="H218" s="17" t="str">
        <x:v>대전광역시 동구 용운로 159-1 1층</x:v>
      </x:c>
      <x:c r="I218" s="18" t="e">
        <x:f>HYPERLINK("https://search.naver.com/search.naver?where=blog&amp;query=%EB%9D%BC%ED%99%8D%EB%B0%A9%EB%A7%88%EB%9D%BC%ED%83%95+%EB%8C%80%EC%A0%84%EC%9A%A9%EC%9A%B4%EC%A0%90+%EB%8F%99%EA%B5%AC","블로그 보기")</x:f>
        <x:v>HYPERLINK is not implemented. linkLocation=https://search.naver.com/search.naver?where=blog&amp;query=%EB%9D%BC%ED%99%8D%EB%B0%A9%EB%A7%88%EB%9D%BC%ED%83%95+%EB%8C%80%EC%A0%84%EC%9A%A9%EC%9A%B4%EC%A0%90+%EB%8F%99%EA%B5%AC, friendlyName=블로그 보기</x:v>
      </x:c>
      <x:c r="J218" s="18" t="e">
        <x:f>HYPERLINK("http://lahongbang.com","업체 보기")</x:f>
        <x:v>HYPERLINK is not implemented. linkLocation=http://lahongbang.com, friendlyName=업체 보기</x:v>
      </x:c>
      <x:c r="K218" s="18" t="str"/>
      <x:c r="L218" s="17" t="str"/>
      <x:c r="M218" s="20" t="n">
        <x:v>46220</x:v>
      </x:c>
      <x:c r="N218" s="21" t="n">
        <x:v>74</x:v>
      </x:c>
      <x:c r="O218" s="21" t="n">
        <x:v>40</x:v>
      </x:c>
      <x:c r="P218" s="21" t="n">
        <x:v>127</x:v>
      </x:c>
      <x:c r="Q218" s="21" t="n">
        <x:v>3</x:v>
      </x:c>
      <x:c r="R218" s="21" t="n">
        <x:v>2</x:v>
      </x:c>
      <x:c r="S218" s="17" t="str">
        <x:v>용운동 맛집 | 용운동 중식</x:v>
      </x:c>
      <x:c r="T218" s="22" t="n">
        <x:v>36.32812</x:v>
      </x:c>
      <x:c r="U218" s="22" t="n">
        <x:v>127.4602082</x:v>
      </x:c>
    </x:row>
    <x:row r="219" ht="32" customHeight="1">
      <x:c r="A219" s="18" t="str">
        <x:v>pending</x:v>
      </x:c>
      <x:c r="B219" s="18" t="str">
        <x:v>동구</x:v>
      </x:c>
      <x:c r="C219" s="17" t="str">
        <x:v>연탄길</x:v>
      </x:c>
      <x:c r="D219" s="17" t="str">
        <x:v>한식&gt;육류,고기요리</x:v>
      </x:c>
      <x:c r="E219" s="19" t="n">
        <x:v>69</x:v>
      </x:c>
      <x:c r="F219" s="17" t="str">
        <x:v>최근 12개월 블로그 40건</x:v>
      </x:c>
      <x:c r="G219" s="17" t="str">
        <x:v>대전광역시 동구 효동 256-10 1층 연탄길</x:v>
      </x:c>
      <x:c r="H219" s="17" t="str">
        <x:v>대전광역시 동구 대전로 621 1층 연탄길</x:v>
      </x:c>
      <x:c r="I219" s="18" t="e">
        <x:f>HYPERLINK("https://search.naver.com/search.naver?where=blog&amp;query=%EC%97%B0%ED%83%84%EA%B8%B8+%EB%8F%99%EA%B5%AC","블로그 보기")</x:f>
        <x:v>HYPERLINK is not implemented. linkLocation=https://search.naver.com/search.naver?where=blog&amp;query=%EC%97%B0%ED%83%84%EA%B8%B8+%EB%8F%99%EA%B5%AC, friendlyName=블로그 보기</x:v>
      </x:c>
      <x:c r="J219" s="18" t="str"/>
      <x:c r="K219" s="18" t="str"/>
      <x:c r="L219" s="17" t="str"/>
      <x:c r="M219" s="20" t="n">
        <x:v>46197</x:v>
      </x:c>
      <x:c r="N219" s="21" t="n">
        <x:v>40</x:v>
      </x:c>
      <x:c r="O219" s="21" t="n">
        <x:v>98</x:v>
      </x:c>
      <x:c r="P219" s="21" t="n">
        <x:v>326</x:v>
      </x:c>
      <x:c r="Q219" s="21" t="n">
        <x:v>4</x:v>
      </x:c>
      <x:c r="R219" s="21" t="n">
        <x:v>2</x:v>
      </x:c>
      <x:c r="S219" s="17" t="str">
        <x:v>용운동 노포 | 판암동 노포</x:v>
      </x:c>
      <x:c r="T219" s="22" t="n">
        <x:v>36.3160149</x:v>
      </x:c>
      <x:c r="U219" s="22" t="n">
        <x:v>127.4399557</x:v>
      </x:c>
    </x:row>
    <x:row r="220" ht="32" customHeight="1">
      <x:c r="A220" s="18" t="str">
        <x:v>pending</x:v>
      </x:c>
      <x:c r="B220" s="18" t="str">
        <x:v>동구</x:v>
      </x:c>
      <x:c r="C220" s="17" t="str">
        <x:v>쌍청고기마을 대전한우</x:v>
      </x:c>
      <x:c r="D220" s="17" t="str">
        <x:v>한식&gt;육류,고기요리</x:v>
      </x:c>
      <x:c r="E220" s="19" t="n">
        <x:v>68</x:v>
      </x:c>
      <x:c r="F220" s="17" t="str">
        <x:v>지역성: 대전; 최근 12개월 블로그 100건</x:v>
      </x:c>
      <x:c r="G220" s="17" t="str">
        <x:v>대전광역시 동구 판암동 527-7 쌍청고기마을 대전한우</x:v>
      </x:c>
      <x:c r="H220" s="17" t="str">
        <x:v>대전광역시 동구 동부로33번길 46-62 쌍청고기마을 대전한우</x:v>
      </x:c>
      <x:c r="I220" s="18" t="e">
        <x:f>HYPERLINK("https://search.naver.com/search.naver?where=blog&amp;query=%EC%8C%8D%EC%B2%AD%EA%B3%A0%EA%B8%B0%EB%A7%88%EC%9D%84+%EB%8C%80%EC%A0%84%ED%95%9C%EC%9A%B0+%EB%8F%99%EA%B5%AC","블로그 보기")</x:f>
        <x:v>HYPERLINK is not implemented. linkLocation=https://search.naver.com/search.naver?where=blog&amp;query=%EC%8C%8D%EC%B2%AD%EA%B3%A0%EA%B8%B0%EB%A7%88%EC%9D%84+%EB%8C%80%EC%A0%84%ED%95%9C%EC%9A%B0+%EB%8F%99%EA%B5%AC, friendlyName=블로그 보기</x:v>
      </x:c>
      <x:c r="J220" s="18" t="e">
        <x:f>HYPERLINK("https://www.instagram.com/ssangcheong__/","업체 보기")</x:f>
        <x:v>HYPERLINK is not implemented. linkLocation=https://www.instagram.com/ssangcheong__/, friendlyName=업체 보기</x:v>
      </x:c>
      <x:c r="K220" s="18" t="str"/>
      <x:c r="L220" s="17" t="str"/>
      <x:c r="M220" s="20" t="n">
        <x:v>46222</x:v>
      </x:c>
      <x:c r="N220" s="21" t="n">
        <x:v>100</x:v>
      </x:c>
      <x:c r="O220" s="21" t="n">
        <x:v>87</x:v>
      </x:c>
      <x:c r="P220" s="21" t="n">
        <x:v>1380</x:v>
      </x:c>
      <x:c r="Q220" s="21" t="n">
        <x:v>2</x:v>
      </x:c>
      <x:c r="R220" s="21" t="n">
        <x:v>2</x:v>
      </x:c>
      <x:c r="S220" s="17" t="str">
        <x:v>판암동 맛집 | 판암동 한식</x:v>
      </x:c>
      <x:c r="T220" s="22" t="n">
        <x:v>36.3207356</x:v>
      </x:c>
      <x:c r="U220" s="22" t="n">
        <x:v>127.455784</x:v>
      </x:c>
    </x:row>
    <x:row r="221" ht="32" customHeight="1">
      <x:c r="A221" s="18" t="str">
        <x:v>pending</x:v>
      </x:c>
      <x:c r="B221" s="18" t="str">
        <x:v>동구</x:v>
      </x:c>
      <x:c r="C221" s="17" t="str">
        <x:v>호돌이만두</x:v>
      </x:c>
      <x:c r="D221" s="17" t="str">
        <x:v>분식&gt;만두</x:v>
      </x:c>
      <x:c r="E221" s="19" t="n">
        <x:v>68</x:v>
      </x:c>
      <x:c r="F221" s="17" t="str">
        <x:v>최근 12개월 블로그 27건</x:v>
      </x:c>
      <x:c r="G221" s="17" t="str">
        <x:v>대전광역시 동구 신안동 313-7</x:v>
      </x:c>
      <x:c r="H221" s="17" t="str">
        <x:v>대전광역시 동구 솜2길 4</x:v>
      </x:c>
      <x:c r="I221" s="18" t="e">
        <x:f>HYPERLINK("https://search.naver.com/search.naver?where=blog&amp;query=%ED%98%B8%EB%8F%8C%EC%9D%B4%EB%A7%8C%EB%91%90+%EB%8F%99%EA%B5%AC","블로그 보기")</x:f>
        <x:v>HYPERLINK is not implemented. linkLocation=https://search.naver.com/search.naver?where=blog&amp;query=%ED%98%B8%EB%8F%8C%EC%9D%B4%EB%A7%8C%EB%91%90+%EB%8F%99%EA%B5%AC, friendlyName=블로그 보기</x:v>
      </x:c>
      <x:c r="J221" s="18" t="str"/>
      <x:c r="K221" s="18" t="str"/>
      <x:c r="L221" s="17" t="str"/>
      <x:c r="M221" s="20" t="n">
        <x:v>46203</x:v>
      </x:c>
      <x:c r="N221" s="21" t="n">
        <x:v>27</x:v>
      </x:c>
      <x:c r="O221" s="21" t="n">
        <x:v>99</x:v>
      </x:c>
      <x:c r="P221" s="21" t="n">
        <x:v>156</x:v>
      </x:c>
      <x:c r="Q221" s="21" t="n">
        <x:v>4</x:v>
      </x:c>
      <x:c r="R221" s="21" t="n">
        <x:v>2</x:v>
      </x:c>
      <x:c r="S221" s="17" t="str">
        <x:v>용운동 노포 | 판암동 노포</x:v>
      </x:c>
      <x:c r="T221" s="22" t="n">
        <x:v>36.3279732</x:v>
      </x:c>
      <x:c r="U221" s="22" t="n">
        <x:v>127.4380697</x:v>
      </x:c>
    </x:row>
    <x:row r="222" ht="32" customHeight="1">
      <x:c r="A222" s="18" t="str">
        <x:v>pending</x:v>
      </x:c>
      <x:c r="B222" s="18" t="str">
        <x:v>동구</x:v>
      </x:c>
      <x:c r="C222" s="17" t="str">
        <x:v>샤브마니아 대전용운점</x:v>
      </x:c>
      <x:c r="D222" s="17" t="str">
        <x:v>음식점&gt;일식&gt;샤브샤브</x:v>
      </x:c>
      <x:c r="E222" s="19" t="n">
        <x:v>67</x:v>
      </x:c>
      <x:c r="F222" s="17" t="str">
        <x:v>지역성: 대전; 최근 12개월 블로그 100건</x:v>
      </x:c>
      <x:c r="G222" s="17" t="str">
        <x:v>대전광역시 동구 용운동 709 1층</x:v>
      </x:c>
      <x:c r="H222" s="17" t="str">
        <x:v>대전광역시 동구 백룡로 75-48 1층</x:v>
      </x:c>
      <x:c r="I222" s="18" t="e">
        <x:f>HYPERLINK("https://search.naver.com/search.naver?where=blog&amp;query=%EC%83%A4%EB%B8%8C%EB%A7%88%EB%8B%88%EC%95%84+%EB%8C%80%EC%A0%84%EC%9A%A9%EC%9A%B4%EC%A0%90+%EB%8F%99%EA%B5%AC","블로그 보기")</x:f>
        <x:v>HYPERLINK is not implemented. linkLocation=https://search.naver.com/search.naver?where=blog&amp;query=%EC%83%A4%EB%B8%8C%EB%A7%88%EB%8B%88%EC%95%84+%EB%8C%80%EC%A0%84%EC%9A%A9%EC%9A%B4%EC%A0%90+%EB%8F%99%EA%B5%AC, friendlyName=블로그 보기</x:v>
      </x:c>
      <x:c r="J222" s="18" t="str"/>
      <x:c r="K222" s="18" t="str"/>
      <x:c r="L222" s="17" t="str"/>
      <x:c r="M222" s="20" t="n">
        <x:v>46223</x:v>
      </x:c>
      <x:c r="N222" s="21" t="n">
        <x:v>100</x:v>
      </x:c>
      <x:c r="O222" s="21" t="n">
        <x:v>99</x:v>
      </x:c>
      <x:c r="P222" s="21" t="n">
        <x:v>446</x:v>
      </x:c>
      <x:c r="Q222" s="21" t="n">
        <x:v>3</x:v>
      </x:c>
      <x:c r="R222" s="21" t="n">
        <x:v>1</x:v>
      </x:c>
      <x:c r="S222" s="17" t="str">
        <x:v>용운동 맛집 | 용운동 일식</x:v>
      </x:c>
      <x:c r="T222" s="22" t="n">
        <x:v>36.3342</x:v>
      </x:c>
      <x:c r="U222" s="22" t="n">
        <x:v>127.4556125</x:v>
      </x:c>
    </x:row>
    <x:row r="223" ht="32" customHeight="1">
      <x:c r="A223" s="18" t="str">
        <x:v>pending</x:v>
      </x:c>
      <x:c r="B223" s="18" t="str">
        <x:v>동구</x:v>
      </x:c>
      <x:c r="C223" s="17" t="str">
        <x:v>금성삼계탕</x:v>
      </x:c>
      <x:c r="D223" s="17" t="str">
        <x:v>한식&gt;백숙,삼계탕</x:v>
      </x:c>
      <x:c r="E223" s="19" t="n">
        <x:v>66</x:v>
      </x:c>
      <x:c r="F223" s="17" t="str">
        <x:v>최근 12개월 블로그 97건</x:v>
      </x:c>
      <x:c r="G223" s="17" t="str">
        <x:v>대전광역시 동구 중동 32-14</x:v>
      </x:c>
      <x:c r="H223" s="17" t="str">
        <x:v>대전광역시 동구 선화로196번길 44</x:v>
      </x:c>
      <x:c r="I223" s="18" t="e">
        <x:f>HYPERLINK("https://search.naver.com/search.naver?where=blog&amp;query=%EA%B8%88%EC%84%B1%EC%82%BC%EA%B3%84%ED%83%95+%EB%8F%99%EA%B5%AC","블로그 보기")</x:f>
        <x:v>HYPERLINK is not implemented. linkLocation=https://search.naver.com/search.naver?where=blog&amp;query=%EA%B8%88%EC%84%B1%EC%82%BC%EA%B3%84%ED%83%95+%EB%8F%99%EA%B5%AC, friendlyName=블로그 보기</x:v>
      </x:c>
      <x:c r="J223" s="18" t="str"/>
      <x:c r="K223" s="18" t="str"/>
      <x:c r="L223" s="17" t="str"/>
      <x:c r="M223" s="20" t="n">
        <x:v>46218</x:v>
      </x:c>
      <x:c r="N223" s="21" t="n">
        <x:v>97</x:v>
      </x:c>
      <x:c r="O223" s="21" t="n">
        <x:v>97</x:v>
      </x:c>
      <x:c r="P223" s="21" t="n">
        <x:v>455</x:v>
      </x:c>
      <x:c r="Q223" s="21" t="n">
        <x:v>4</x:v>
      </x:c>
      <x:c r="R223" s="21" t="n">
        <x:v>1</x:v>
      </x:c>
      <x:c r="S223" s="17" t="str">
        <x:v>대전역 삼계탕 | 대전역 한식 | 소제동 삼계탕</x:v>
      </x:c>
      <x:c r="T223" s="22" t="n">
        <x:v>36.3321891</x:v>
      </x:c>
      <x:c r="U223" s="22" t="n">
        <x:v>127.4288</x:v>
      </x:c>
    </x:row>
    <x:row r="224" ht="32" customHeight="1">
      <x:c r="A224" s="18" t="str">
        <x:v>pending</x:v>
      </x:c>
      <x:c r="B224" s="18" t="str">
        <x:v>동구</x:v>
      </x:c>
      <x:c r="C224" s="17" t="str">
        <x:v>동평소국밥 본점</x:v>
      </x:c>
      <x:c r="D224" s="17" t="str">
        <x:v>한식&gt;국밥</x:v>
      </x:c>
      <x:c r="E224" s="19" t="n">
        <x:v>66</x:v>
      </x:c>
      <x:c r="F224" s="17" t="str">
        <x:v>지역성: 본점; 최근 12개월 블로그 100건</x:v>
      </x:c>
      <x:c r="G224" s="17" t="str">
        <x:v>대전광역시 동구 판암동 461</x:v>
      </x:c>
      <x:c r="H224" s="17" t="str">
        <x:v>대전광역시 동구 동구청로203번길 36</x:v>
      </x:c>
      <x:c r="I224" s="18" t="e">
        <x:f>HYPERLINK("https://search.naver.com/search.naver?where=blog&amp;query=%EB%8F%99%ED%8F%89%EC%86%8C%EA%B5%AD%EB%B0%A5+%EB%B3%B8%EC%A0%90+%EB%8F%99%EA%B5%AC","블로그 보기")</x:f>
        <x:v>HYPERLINK is not implemented. linkLocation=https://search.naver.com/search.naver?where=blog&amp;query=%EB%8F%99%ED%8F%89%EC%86%8C%EA%B5%AD%EB%B0%A5+%EB%B3%B8%EC%A0%90+%EB%8F%99%EA%B5%AC, friendlyName=블로그 보기</x:v>
      </x:c>
      <x:c r="J224" s="18" t="str"/>
      <x:c r="K224" s="18" t="str"/>
      <x:c r="L224" s="17" t="str"/>
      <x:c r="M224" s="20" t="n">
        <x:v>46223</x:v>
      </x:c>
      <x:c r="N224" s="21" t="n">
        <x:v>100</x:v>
      </x:c>
      <x:c r="O224" s="21" t="n">
        <x:v>98</x:v>
      </x:c>
      <x:c r="P224" s="21" t="n">
        <x:v>3605</x:v>
      </x:c>
      <x:c r="Q224" s="21" t="n">
        <x:v>2</x:v>
      </x:c>
      <x:c r="R224" s="21" t="n">
        <x:v>1</x:v>
      </x:c>
      <x:c r="S224" s="17" t="str">
        <x:v>판암동 국밥</x:v>
      </x:c>
      <x:c r="T224" s="22" t="n">
        <x:v>36.3167294</x:v>
      </x:c>
      <x:c r="U224" s="22" t="n">
        <x:v>127.4550589</x:v>
      </x:c>
    </x:row>
    <x:row r="225" ht="32" customHeight="1">
      <x:c r="A225" s="18" t="str">
        <x:v>pending</x:v>
      </x:c>
      <x:c r="B225" s="18" t="str">
        <x:v>동구</x:v>
      </x:c>
      <x:c r="C225" s="17" t="str">
        <x:v>미도리카레</x:v>
      </x:c>
      <x:c r="D225" s="17" t="str">
        <x:v>음식점&gt;일식&gt;카레</x:v>
      </x:c>
      <x:c r="E225" s="19" t="n">
        <x:v>66</x:v>
      </x:c>
      <x:c r="F225" s="17" t="str">
        <x:v>최근 12개월 블로그 100건</x:v>
      </x:c>
      <x:c r="G225" s="17" t="str">
        <x:v>대전광역시 동구 소제동 299-413 1층</x:v>
      </x:c>
      <x:c r="H225" s="17" t="str">
        <x:v>대전광역시 동구 수향길 75 1층</x:v>
      </x:c>
      <x:c r="I225" s="18" t="e">
        <x:f>HYPERLINK("https://search.naver.com/search.naver?where=blog&amp;query=%EB%AF%B8%EB%8F%84%EB%A6%AC%EC%B9%B4%EB%A0%88+%EB%8F%99%EA%B5%AC","블로그 보기")</x:f>
        <x:v>HYPERLINK is not implemented. linkLocation=https://search.naver.com/search.naver?where=blog&amp;query=%EB%AF%B8%EB%8F%84%EB%A6%AC%EC%B9%B4%EB%A0%88+%EB%8F%99%EA%B5%AC, friendlyName=블로그 보기</x:v>
      </x:c>
      <x:c r="J225" s="18" t="e">
        <x:f>HYPERLINK("https://www.instagram.com/midori_color","업체 보기")</x:f>
        <x:v>HYPERLINK is not implemented. linkLocation=https://www.instagram.com/midori_color, friendlyName=업체 보기</x:v>
      </x:c>
      <x:c r="K225" s="18" t="str"/>
      <x:c r="L225" s="17" t="str"/>
      <x:c r="M225" s="20" t="n">
        <x:v>46222</x:v>
      </x:c>
      <x:c r="N225" s="21" t="n">
        <x:v>100</x:v>
      </x:c>
      <x:c r="O225" s="21" t="n">
        <x:v>95</x:v>
      </x:c>
      <x:c r="P225" s="21" t="n">
        <x:v>605</x:v>
      </x:c>
      <x:c r="Q225" s="21" t="n">
        <x:v>3</x:v>
      </x:c>
      <x:c r="R225" s="21" t="n">
        <x:v>2</x:v>
      </x:c>
      <x:c r="S225" s="17" t="str">
        <x:v>소제동 맛집 | 소제동 일식</x:v>
      </x:c>
      <x:c r="T225" s="22" t="n">
        <x:v>36.3360872</x:v>
      </x:c>
      <x:c r="U225" s="22" t="n">
        <x:v>127.4368282</x:v>
      </x:c>
    </x:row>
    <x:row r="226" ht="32" customHeight="1">
      <x:c r="A226" s="18" t="str">
        <x:v>pending</x:v>
      </x:c>
      <x:c r="B226" s="18" t="str">
        <x:v>동구</x:v>
      </x:c>
      <x:c r="C226" s="17" t="str">
        <x:v>왕돈가스 대전대남문점</x:v>
      </x:c>
      <x:c r="D226" s="17" t="str">
        <x:v>음식점&gt;일식&gt;돈가스</x:v>
      </x:c>
      <x:c r="E226" s="19" t="n">
        <x:v>66</x:v>
      </x:c>
      <x:c r="F226" s="17" t="str">
        <x:v>지역성: 대전; 최근 12개월 블로그 100건</x:v>
      </x:c>
      <x:c r="G226" s="17" t="str">
        <x:v>대전광역시 동구 용운동 174-15</x:v>
      </x:c>
      <x:c r="H226" s="17" t="str">
        <x:v>대전광역시 동구 용운로147번길 83</x:v>
      </x:c>
      <x:c r="I226" s="18" t="e">
        <x:f>HYPERLINK("https://search.naver.com/search.naver?where=blog&amp;query=%EC%99%95%EB%8F%88%EA%B0%80%EC%8A%A4+%EB%8C%80%EC%A0%84%EB%8C%80%EB%82%A8%EB%AC%B8%EC%A0%90+%EB%8F%99%EA%B5%AC","블로그 보기")</x:f>
        <x:v>HYPERLINK is not implemented. linkLocation=https://search.naver.com/search.naver?where=blog&amp;query=%EC%99%95%EB%8F%88%EA%B0%80%EC%8A%A4+%EB%8C%80%EC%A0%84%EB%8C%80%EB%82%A8%EB%AC%B8%EC%A0%90+%EB%8F%99%EA%B5%AC, friendlyName=블로그 보기</x:v>
      </x:c>
      <x:c r="J226" s="18" t="str"/>
      <x:c r="K226" s="18" t="str"/>
      <x:c r="L226" s="17" t="str"/>
      <x:c r="M226" s="20" t="n">
        <x:v>46223</x:v>
      </x:c>
      <x:c r="N226" s="21" t="n">
        <x:v>100</x:v>
      </x:c>
      <x:c r="O226" s="21" t="n">
        <x:v>93</x:v>
      </x:c>
      <x:c r="P226" s="21" t="n">
        <x:v>2610</x:v>
      </x:c>
      <x:c r="Q226" s="21" t="n">
        <x:v>2</x:v>
      </x:c>
      <x:c r="R226" s="21" t="n">
        <x:v>1</x:v>
      </x:c>
      <x:c r="S226" s="17" t="str">
        <x:v>용운동 일식</x:v>
      </x:c>
      <x:c r="T226" s="22" t="n">
        <x:v>36.3311809</x:v>
      </x:c>
      <x:c r="U226" s="22" t="n">
        <x:v>127.4609485</x:v>
      </x:c>
    </x:row>
    <x:row r="227" ht="32" customHeight="1">
      <x:c r="A227" s="18" t="str">
        <x:v>pending</x:v>
      </x:c>
      <x:c r="B227" s="18" t="str">
        <x:v>동구</x:v>
      </x:c>
      <x:c r="C227" s="17" t="str">
        <x:v>등불회관 대전판암동점</x:v>
      </x:c>
      <x:c r="D227" s="17" t="str">
        <x:v>한식&gt;육류,고기요리</x:v>
      </x:c>
      <x:c r="E227" s="19" t="n">
        <x:v>65</x:v>
      </x:c>
      <x:c r="F227" s="17" t="str">
        <x:v>지역성: 대전; 최근 12개월 블로그 100건</x:v>
      </x:c>
      <x:c r="G227" s="17" t="str">
        <x:v>대전광역시 동구 판암동 490-20 1층 등불회관</x:v>
      </x:c>
      <x:c r="H227" s="17" t="str">
        <x:v>대전광역시 동구 옥천로 139 1층 등불회관</x:v>
      </x:c>
      <x:c r="I227" s="18" t="e">
        <x:f>HYPERLINK("https://search.naver.com/search.naver?where=blog&amp;query=%EB%93%B1%EB%B6%88%ED%9A%8C%EA%B4%80+%EB%8C%80%EC%A0%84%ED%8C%90%EC%95%94%EB%8F%99%EC%A0%90+%EB%8F%99%EA%B5%AC","블로그 보기")</x:f>
        <x:v>HYPERLINK is not implemented. linkLocation=https://search.naver.com/search.naver?where=blog&amp;query=%EB%93%B1%EB%B6%88%ED%9A%8C%EA%B4%80+%EB%8C%80%EC%A0%84%ED%8C%90%EC%95%94%EB%8F%99%EC%A0%90+%EB%8F%99%EA%B5%AC, friendlyName=블로그 보기</x:v>
      </x:c>
      <x:c r="J227" s="18" t="str"/>
      <x:c r="K227" s="18" t="str"/>
      <x:c r="L227" s="17" t="str"/>
      <x:c r="M227" s="20" t="n">
        <x:v>46219</x:v>
      </x:c>
      <x:c r="N227" s="21" t="n">
        <x:v>100</x:v>
      </x:c>
      <x:c r="O227" s="21" t="n">
        <x:v>100</x:v>
      </x:c>
      <x:c r="P227" s="21" t="n">
        <x:v>1585</x:v>
      </x:c>
      <x:c r="Q227" s="21" t="n">
        <x:v>2</x:v>
      </x:c>
      <x:c r="R227" s="21" t="n">
        <x:v>1</x:v>
      </x:c>
      <x:c r="S227" s="17" t="str">
        <x:v>판암동 칼국수</x:v>
      </x:c>
      <x:c r="T227" s="22" t="n">
        <x:v>36.3173956</x:v>
      </x:c>
      <x:c r="U227" s="22" t="n">
        <x:v>127.4558674</x:v>
      </x:c>
    </x:row>
    <x:row r="228" ht="32" customHeight="1">
      <x:c r="A228" s="18" t="str">
        <x:v>pending</x:v>
      </x:c>
      <x:c r="B228" s="18" t="str">
        <x:v>동구</x:v>
      </x:c>
      <x:c r="C228" s="17" t="str">
        <x:v>조기종의향미각</x:v>
      </x:c>
      <x:c r="D228" s="17" t="str">
        <x:v>중식&gt;중식당</x:v>
      </x:c>
      <x:c r="E228" s="19" t="n">
        <x:v>65</x:v>
      </x:c>
      <x:c r="F228" s="17" t="str">
        <x:v>최근 12개월 블로그 44건</x:v>
      </x:c>
      <x:c r="G228" s="17" t="str">
        <x:v>대전광역시 동구 용운동 316-8</x:v>
      </x:c>
      <x:c r="H228" s="17" t="str">
        <x:v>대전광역시 동구 동부로 89</x:v>
      </x:c>
      <x:c r="I228" s="18" t="e">
        <x:f>HYPERLINK("https://search.naver.com/search.naver?where=blog&amp;query=%EC%A1%B0%EA%B8%B0%EC%A2%85%EC%9D%98%ED%96%A5%EB%AF%B8%EA%B0%81+%EB%8F%99%EA%B5%AC","블로그 보기")</x:f>
        <x:v>HYPERLINK is not implemented. linkLocation=https://search.naver.com/search.naver?where=blog&amp;query=%EC%A1%B0%EA%B8%B0%EC%A2%85%EC%9D%98%ED%96%A5%EB%AF%B8%EA%B0%81+%EB%8F%99%EA%B5%AC, friendlyName=블로그 보기</x:v>
      </x:c>
      <x:c r="J228" s="18" t="str"/>
      <x:c r="K228" s="18" t="str"/>
      <x:c r="L228" s="17" t="str"/>
      <x:c r="M228" s="20" t="n">
        <x:v>46205</x:v>
      </x:c>
      <x:c r="N228" s="21" t="n">
        <x:v>44</x:v>
      </x:c>
      <x:c r="O228" s="21" t="n">
        <x:v>97</x:v>
      </x:c>
      <x:c r="P228" s="21" t="n">
        <x:v>224</x:v>
      </x:c>
      <x:c r="Q228" s="21" t="n">
        <x:v>3</x:v>
      </x:c>
      <x:c r="R228" s="21" t="n">
        <x:v>2</x:v>
      </x:c>
      <x:c r="S228" s="17" t="str">
        <x:v>용운동 맛집 | 용운동 중식</x:v>
      </x:c>
      <x:c r="T228" s="22" t="n">
        <x:v>36.3225346</x:v>
      </x:c>
      <x:c r="U228" s="22" t="n">
        <x:v>127.462395</x:v>
      </x:c>
    </x:row>
    <x:row r="229" ht="32" customHeight="1">
      <x:c r="A229" s="18" t="str">
        <x:v>pending</x:v>
      </x:c>
      <x:c r="B229" s="18" t="str">
        <x:v>동구</x:v>
      </x:c>
      <x:c r="C229" s="17" t="str">
        <x:v>후루룩대전</x:v>
      </x:c>
      <x:c r="D229" s="17" t="str">
        <x:v>한식&gt;국수</x:v>
      </x:c>
      <x:c r="E229" s="19" t="n">
        <x:v>65</x:v>
      </x:c>
      <x:c r="F229" s="17" t="str">
        <x:v>지역성: 대전; 최근 12개월 블로그 100건</x:v>
      </x:c>
      <x:c r="G229" s="17" t="str">
        <x:v>대전광역시 동구 소제동 299-32</x:v>
      </x:c>
      <x:c r="H229" s="17" t="str">
        <x:v>대전광역시 동구 철갑2길 16</x:v>
      </x:c>
      <x:c r="I229" s="18" t="e">
        <x:f>HYPERLINK("https://search.naver.com/search.naver?where=blog&amp;query=%ED%9B%84%EB%A3%A8%EB%A3%A9%EB%8C%80%EC%A0%84+%EB%8F%99%EA%B5%AC","블로그 보기")</x:f>
        <x:v>HYPERLINK is not implemented. linkLocation=https://search.naver.com/search.naver?where=blog&amp;query=%ED%9B%84%EB%A3%A8%EB%A3%A9%EB%8C%80%EC%A0%84+%EB%8F%99%EA%B5%AC, friendlyName=블로그 보기</x:v>
      </x:c>
      <x:c r="J229" s="18" t="e">
        <x:f>HYPERLINK("http://pf.kakao.com/_qiHbn","업체 보기")</x:f>
        <x:v>HYPERLINK is not implemented. linkLocation=http://pf.kakao.com/_qiHbn, friendlyName=업체 보기</x:v>
      </x:c>
      <x:c r="K229" s="18" t="str"/>
      <x:c r="L229" s="17" t="str"/>
      <x:c r="M229" s="20" t="n">
        <x:v>46222</x:v>
      </x:c>
      <x:c r="N229" s="21" t="n">
        <x:v>100</x:v>
      </x:c>
      <x:c r="O229" s="21" t="n">
        <x:v>97</x:v>
      </x:c>
      <x:c r="P229" s="21" t="n">
        <x:v>1872</x:v>
      </x:c>
      <x:c r="Q229" s="21" t="n">
        <x:v>2</x:v>
      </x:c>
      <x:c r="R229" s="21" t="n">
        <x:v>1</x:v>
      </x:c>
      <x:c r="S229" s="17" t="str">
        <x:v>소제동 한식</x:v>
      </x:c>
      <x:c r="T229" s="22" t="n">
        <x:v>36.3352829</x:v>
      </x:c>
      <x:c r="U229" s="22" t="n">
        <x:v>127.4371057</x:v>
      </x:c>
    </x:row>
    <x:row r="230" ht="32" customHeight="1">
      <x:c r="A230" s="18" t="str">
        <x:v>pending</x:v>
      </x:c>
      <x:c r="B230" s="18" t="str">
        <x:v>동구</x:v>
      </x:c>
      <x:c r="C230" s="17" t="str">
        <x:v>달인김밥천국</x:v>
      </x:c>
      <x:c r="D230" s="17" t="str">
        <x:v>분식&gt;종합분식</x:v>
      </x:c>
      <x:c r="E230" s="19" t="n">
        <x:v>64</x:v>
      </x:c>
      <x:c r="F230" s="17" t="str">
        <x:v>최근 12개월 블로그 6건</x:v>
      </x:c>
      <x:c r="G230" s="17" t="str">
        <x:v>대전광역시 동구 용운동 175-3 102호</x:v>
      </x:c>
      <x:c r="H230" s="17" t="str">
        <x:v>대전광역시 동구 새울로 143 102호</x:v>
      </x:c>
      <x:c r="I230" s="18" t="e">
        <x:f>HYPERLINK("https://search.naver.com/search.naver?where=blog&amp;query=%EB%8B%AC%EC%9D%B8%EA%B9%80%EB%B0%A5%EC%B2%9C%EA%B5%AD+%EB%8F%99%EA%B5%AC","블로그 보기")</x:f>
        <x:v>HYPERLINK is not implemented. linkLocation=https://search.naver.com/search.naver?where=blog&amp;query=%EB%8B%AC%EC%9D%B8%EA%B9%80%EB%B0%A5%EC%B2%9C%EA%B5%AD+%EB%8F%99%EA%B5%AC, friendlyName=블로그 보기</x:v>
      </x:c>
      <x:c r="J230" s="18" t="str"/>
      <x:c r="K230" s="18" t="str"/>
      <x:c r="L230" s="17" t="str"/>
      <x:c r="M230" s="20" t="n">
        <x:v>46180</x:v>
      </x:c>
      <x:c r="N230" s="21" t="n">
        <x:v>6</x:v>
      </x:c>
      <x:c r="O230" s="21" t="n">
        <x:v>46</x:v>
      </x:c>
      <x:c r="P230" s="21" t="n">
        <x:v>61</x:v>
      </x:c>
      <x:c r="Q230" s="21" t="n">
        <x:v>4</x:v>
      </x:c>
      <x:c r="R230" s="21" t="n">
        <x:v>2</x:v>
      </x:c>
      <x:c r="S230" s="17" t="str">
        <x:v>용운동 냉면 | 용운동 분식</x:v>
      </x:c>
      <x:c r="T230" s="22" t="n">
        <x:v>36.3308712</x:v>
      </x:c>
      <x:c r="U230" s="22" t="n">
        <x:v>127.4634532</x:v>
      </x:c>
    </x:row>
    <x:row r="231" ht="32" customHeight="1">
      <x:c r="A231" s="18" t="str">
        <x:v>pending</x:v>
      </x:c>
      <x:c r="B231" s="18" t="str">
        <x:v>동구</x:v>
      </x:c>
      <x:c r="C231" s="17" t="str">
        <x:v>왕돈까스</x:v>
      </x:c>
      <x:c r="D231" s="17" t="str">
        <x:v>분식&gt;종합분식</x:v>
      </x:c>
      <x:c r="E231" s="19" t="n">
        <x:v>64</x:v>
      </x:c>
      <x:c r="F231" s="17" t="str">
        <x:v>최근 12개월 블로그 100건</x:v>
      </x:c>
      <x:c r="G231" s="17" t="str">
        <x:v>대전광역시 동구 용운동 96-3 대전대학교</x:v>
      </x:c>
      <x:c r="H231" s="17" t="str">
        <x:v>대전광역시 동구 대학로 62 대전대학교</x:v>
      </x:c>
      <x:c r="I231" s="18" t="e">
        <x:f>HYPERLINK("https://search.naver.com/search.naver?where=blog&amp;query=%EC%99%95%EB%8F%88%EA%B9%8C%EC%8A%A4+%EB%8F%99%EA%B5%AC","블로그 보기")</x:f>
        <x:v>HYPERLINK is not implemented. linkLocation=https://search.naver.com/search.naver?where=blog&amp;query=%EC%99%95%EB%8F%88%EA%B9%8C%EC%8A%A4+%EB%8F%99%EA%B5%AC, friendlyName=블로그 보기</x:v>
      </x:c>
      <x:c r="J231" s="18" t="str"/>
      <x:c r="K231" s="18" t="str"/>
      <x:c r="L231" s="17" t="str"/>
      <x:c r="M231" s="20" t="n">
        <x:v>46223</x:v>
      </x:c>
      <x:c r="N231" s="21" t="n">
        <x:v>100</x:v>
      </x:c>
      <x:c r="O231" s="21" t="n">
        <x:v>98</x:v>
      </x:c>
      <x:c r="P231" s="21" t="n">
        <x:v>4635</x:v>
      </x:c>
      <x:c r="Q231" s="21" t="n">
        <x:v>2</x:v>
      </x:c>
      <x:c r="R231" s="21" t="n">
        <x:v>2</x:v>
      </x:c>
      <x:c r="S231" s="17" t="str">
        <x:v>용운동 냉면 | 용운동 분식</x:v>
      </x:c>
      <x:c r="T231" s="22" t="n">
        <x:v>36.3311757</x:v>
      </x:c>
      <x:c r="U231" s="22" t="n">
        <x:v>127.4609796</x:v>
      </x:c>
    </x:row>
    <x:row r="232" ht="32" customHeight="1">
      <x:c r="A232" s="18" t="str">
        <x:v>pending</x:v>
      </x:c>
      <x:c r="B232" s="18" t="str">
        <x:v>동구</x:v>
      </x:c>
      <x:c r="C232" s="17" t="str">
        <x:v>이순신소국밥 용운장군점</x:v>
      </x:c>
      <x:c r="D232" s="17" t="str">
        <x:v>한식&gt;국밥</x:v>
      </x:c>
      <x:c r="E232" s="19" t="n">
        <x:v>64</x:v>
      </x:c>
      <x:c r="F232" s="17" t="str">
        <x:v>최근 12개월 블로그 16건</x:v>
      </x:c>
      <x:c r="G232" s="17" t="str">
        <x:v>대전광역시 동구 용운동 666</x:v>
      </x:c>
      <x:c r="H232" s="17" t="str">
        <x:v>대전광역시 동구 대학로50번길 22-26</x:v>
      </x:c>
      <x:c r="I232" s="18" t="e">
        <x:f>HYPERLINK("https://search.naver.com/search.naver?where=blog&amp;query=%EC%9D%B4%EC%88%9C%EC%8B%A0%EC%86%8C%EA%B5%AD%EB%B0%A5+%EC%9A%A9%EC%9A%B4%EC%9E%A5%EA%B5%B0%EC%A0%90+%EB%8F%99%EA%B5%AC","블로그 보기")</x:f>
        <x:v>HYPERLINK is not implemented. linkLocation=https://search.naver.com/search.naver?where=blog&amp;query=%EC%9D%B4%EC%88%9C%EC%8B%A0%EC%86%8C%EA%B5%AD%EB%B0%A5+%EC%9A%A9%EC%9A%B4%EC%9E%A5%EA%B5%B0%EC%A0%90+%EB%8F%99%EA%B5%AC, friendlyName=블로그 보기</x:v>
      </x:c>
      <x:c r="J232" s="18" t="str"/>
      <x:c r="K232" s="18" t="str"/>
      <x:c r="L232" s="17" t="str"/>
      <x:c r="M232" s="20" t="n">
        <x:v>46185</x:v>
      </x:c>
      <x:c r="N232" s="21" t="n">
        <x:v>16</x:v>
      </x:c>
      <x:c r="O232" s="21" t="n">
        <x:v>68</x:v>
      </x:c>
      <x:c r="P232" s="21" t="n">
        <x:v>82</x:v>
      </x:c>
      <x:c r="Q232" s="21" t="n">
        <x:v>4</x:v>
      </x:c>
      <x:c r="R232" s="21" t="n">
        <x:v>1</x:v>
      </x:c>
      <x:c r="S232" s="17" t="str">
        <x:v>용운동 국밥 | 용운동 한식 | 판암동 국밥</x:v>
      </x:c>
      <x:c r="T232" s="22" t="n">
        <x:v>36.3327225</x:v>
      </x:c>
      <x:c r="U232" s="22" t="n">
        <x:v>127.4562703</x:v>
      </x:c>
    </x:row>
    <x:row r="233" ht="32" customHeight="1">
      <x:c r="A233" s="18" t="str">
        <x:v>pending</x:v>
      </x:c>
      <x:c r="B233" s="18" t="str">
        <x:v>동구</x:v>
      </x:c>
      <x:c r="C233" s="17" t="str">
        <x:v>장군뒷고기 대전본점</x:v>
      </x:c>
      <x:c r="D233" s="17" t="str">
        <x:v>한식&gt;육류,고기요리</x:v>
      </x:c>
      <x:c r="E233" s="19" t="n">
        <x:v>63</x:v>
      </x:c>
      <x:c r="F233" s="17" t="str">
        <x:v>지역성: 본점, 대전; 최근 12개월 블로그 100건</x:v>
      </x:c>
      <x:c r="G233" s="17" t="str">
        <x:v>대전광역시 동구 용운동 293-8 1층 장군뒷고기 대전본점</x:v>
      </x:c>
      <x:c r="H233" s="17" t="str">
        <x:v>대전광역시 동구 용운로 129 1층 장군뒷고기 대전본점</x:v>
      </x:c>
      <x:c r="I233" s="18" t="e">
        <x:f>HYPERLINK("https://search.naver.com/search.naver?where=blog&amp;query=%EC%9E%A5%EA%B5%B0%EB%92%B7%EA%B3%A0%EA%B8%B0+%EB%8C%80%EC%A0%84%EB%B3%B8%EC%A0%90+%EB%8F%99%EA%B5%AC","블로그 보기")</x:f>
        <x:v>HYPERLINK is not implemented. linkLocation=https://search.naver.com/search.naver?where=blog&amp;query=%EC%9E%A5%EA%B5%B0%EB%92%B7%EA%B3%A0%EA%B8%B0+%EB%8C%80%EC%A0%84%EB%B3%B8%EC%A0%90+%EB%8F%99%EA%B5%AC, friendlyName=블로그 보기</x:v>
      </x:c>
      <x:c r="J233" s="18" t="e">
        <x:f>HYPERLINK("https://www.instagram.com/kogibrother?igsh=MTNtMWUzNnI4ZzkwNg==","업체 보기")</x:f>
        <x:v>HYPERLINK is not implemented. linkLocation=https://www.instagram.com/kogibrother?igsh=MTNtMWUzNnI4ZzkwNg==, friendlyName=업체 보기</x:v>
      </x:c>
      <x:c r="K233" s="18" t="str"/>
      <x:c r="L233" s="17" t="str"/>
      <x:c r="M233" s="20" t="n">
        <x:v>46221</x:v>
      </x:c>
      <x:c r="N233" s="21" t="n">
        <x:v>100</x:v>
      </x:c>
      <x:c r="O233" s="21" t="n">
        <x:v>96</x:v>
      </x:c>
      <x:c r="P233" s="21" t="n">
        <x:v>1077</x:v>
      </x:c>
      <x:c r="Q233" s="21" t="n">
        <x:v>1</x:v>
      </x:c>
      <x:c r="R233" s="21" t="n">
        <x:v>0</x:v>
      </x:c>
      <x:c r="S233" s="17" t="str">
        <x:v>용운동 고기</x:v>
      </x:c>
      <x:c r="T233" s="22" t="n">
        <x:v>36.3281557</x:v>
      </x:c>
      <x:c r="U233" s="22" t="n">
        <x:v>127.4567727</x:v>
      </x:c>
    </x:row>
    <x:row r="234" ht="32" customHeight="1">
      <x:c r="A234" s="18" t="str">
        <x:v>pending</x:v>
      </x:c>
      <x:c r="B234" s="18" t="str">
        <x:v>동구</x:v>
      </x:c>
      <x:c r="C234" s="17" t="str">
        <x:v>대전감자탕</x:v>
      </x:c>
      <x:c r="D234" s="17" t="str">
        <x:v>한식&gt;감자탕</x:v>
      </x:c>
      <x:c r="E234" s="19" t="n">
        <x:v>62</x:v>
      </x:c>
      <x:c r="F234" s="17" t="str">
        <x:v>지역성: 대전; 최근 12개월 블로그 100건</x:v>
      </x:c>
      <x:c r="G234" s="17" t="str">
        <x:v>대전광역시 동구 판암동 870</x:v>
      </x:c>
      <x:c r="H234" s="17" t="str">
        <x:v>대전광역시 동구 옥천로 187</x:v>
      </x:c>
      <x:c r="I234" s="18" t="e">
        <x:f>HYPERLINK("https://search.naver.com/search.naver?where=blog&amp;query=%EB%8C%80%EC%A0%84%EA%B0%90%EC%9E%90%ED%83%95+%EB%8F%99%EA%B5%AC","블로그 보기")</x:f>
        <x:v>HYPERLINK is not implemented. linkLocation=https://search.naver.com/search.naver?where=blog&amp;query=%EB%8C%80%EC%A0%84%EA%B0%90%EC%9E%90%ED%83%95+%EB%8F%99%EA%B5%AC, friendlyName=블로그 보기</x:v>
      </x:c>
      <x:c r="J234" s="18" t="str"/>
      <x:c r="K234" s="18" t="str"/>
      <x:c r="L234" s="17" t="str"/>
      <x:c r="M234" s="20" t="n">
        <x:v>46223</x:v>
      </x:c>
      <x:c r="N234" s="21" t="n">
        <x:v>100</x:v>
      </x:c>
      <x:c r="O234" s="21" t="n">
        <x:v>96</x:v>
      </x:c>
      <x:c r="P234" s="21" t="n">
        <x:v>3241</x:v>
      </x:c>
      <x:c r="Q234" s="21" t="n">
        <x:v>1</x:v>
      </x:c>
      <x:c r="R234" s="21" t="n">
        <x:v>1</x:v>
      </x:c>
      <x:c r="S234" s="17" t="str">
        <x:v>판암동 국밥</x:v>
      </x:c>
      <x:c r="T234" s="22" t="n">
        <x:v>36.3180842</x:v>
      </x:c>
      <x:c r="U234" s="22" t="n">
        <x:v>127.4610003</x:v>
      </x:c>
    </x:row>
    <x:row r="235" ht="32" customHeight="1">
      <x:c r="A235" s="18" t="str">
        <x:v>pending</x:v>
      </x:c>
      <x:c r="B235" s="18" t="str">
        <x:v>동구</x:v>
      </x:c>
      <x:c r="C235" s="17" t="str">
        <x:v>띵호와반점</x:v>
      </x:c>
      <x:c r="D235" s="17" t="str">
        <x:v>중식&gt;중식당</x:v>
      </x:c>
      <x:c r="E235" s="19" t="n">
        <x:v>62</x:v>
      </x:c>
      <x:c r="F235" s="17" t="str">
        <x:v>최근 12개월 블로그 12건</x:v>
      </x:c>
      <x:c r="G235" s="17" t="str">
        <x:v>대전광역시 동구 용운동 450-11</x:v>
      </x:c>
      <x:c r="H235" s="17" t="str">
        <x:v>대전광역시 동구 계족로140번길 150</x:v>
      </x:c>
      <x:c r="I235" s="18" t="e">
        <x:f>HYPERLINK("https://search.naver.com/search.naver?where=blog&amp;query=%EB%9D%B5%ED%98%B8%EC%99%80%EB%B0%98%EC%A0%90+%EB%8F%99%EA%B5%AC","블로그 보기")</x:f>
        <x:v>HYPERLINK is not implemented. linkLocation=https://search.naver.com/search.naver?where=blog&amp;query=%EB%9D%B5%ED%98%B8%EC%99%80%EB%B0%98%EC%A0%90+%EB%8F%99%EA%B5%AC, friendlyName=블로그 보기</x:v>
      </x:c>
      <x:c r="J235" s="18" t="str"/>
      <x:c r="K235" s="18" t="str"/>
      <x:c r="L235" s="17" t="str"/>
      <x:c r="M235" s="20" t="n">
        <x:v>46214</x:v>
      </x:c>
      <x:c r="N235" s="21" t="n">
        <x:v>12</x:v>
      </x:c>
      <x:c r="O235" s="21" t="n">
        <x:v>25</x:v>
      </x:c>
      <x:c r="P235" s="21" t="n">
        <x:v>39</x:v>
      </x:c>
      <x:c r="Q235" s="21" t="n">
        <x:v>3</x:v>
      </x:c>
      <x:c r="R235" s="21" t="n">
        <x:v>2</x:v>
      </x:c>
      <x:c r="S235" s="17" t="str">
        <x:v>용운동 중식 | 용운동 해산물</x:v>
      </x:c>
      <x:c r="T235" s="22" t="n">
        <x:v>36.3276004</x:v>
      </x:c>
      <x:c r="U235" s="22" t="n">
        <x:v>127.4526083</x:v>
      </x:c>
    </x:row>
    <x:row r="236" ht="32" customHeight="1">
      <x:c r="A236" s="18" t="str">
        <x:v>pending</x:v>
      </x:c>
      <x:c r="B236" s="18" t="str">
        <x:v>동구</x:v>
      </x:c>
      <x:c r="C236" s="17" t="str">
        <x:v>장가네대구왕뽈떼기 대전본점</x:v>
      </x:c>
      <x:c r="D236" s="17" t="str">
        <x:v>한식&gt;해물,생선요리</x:v>
      </x:c>
      <x:c r="E236" s="19" t="n">
        <x:v>62</x:v>
      </x:c>
      <x:c r="F236" s="17" t="str">
        <x:v>지역성: 본점, 대전; 최근 12개월 블로그 100건</x:v>
      </x:c>
      <x:c r="G236" s="17" t="str">
        <x:v>대전광역시 동구 성남동 73-3</x:v>
      </x:c>
      <x:c r="H236" s="17" t="str">
        <x:v>대전광역시 동구 계족로 309-1</x:v>
      </x:c>
      <x:c r="I236" s="18" t="e">
        <x:f>HYPERLINK("https://search.naver.com/search.naver?where=blog&amp;query=%EC%9E%A5%EA%B0%80%EB%84%A4%EB%8C%80%EA%B5%AC%EC%99%95%EB%BD%88%EB%96%BC%EA%B8%B0+%EB%8C%80%EC%A0%84%EB%B3%B8%EC%A0%90+%EB%8F%99%EA%B5%AC","블로그 보기")</x:f>
        <x:v>HYPERLINK is not implemented. linkLocation=https://search.naver.com/search.naver?where=blog&amp;query=%EC%9E%A5%EA%B0%80%EB%84%A4%EB%8C%80%EA%B5%AC%EC%99%95%EB%BD%88%EB%96%BC%EA%B8%B0+%EB%8C%80%EC%A0%84%EB%B3%B8%EC%A0%90+%EB%8F%99%EA%B5%AC, friendlyName=블로그 보기</x:v>
      </x:c>
      <x:c r="J236" s="18" t="str"/>
      <x:c r="K236" s="18" t="str"/>
      <x:c r="L236" s="17" t="str"/>
      <x:c r="M236" s="20" t="n">
        <x:v>46220</x:v>
      </x:c>
      <x:c r="N236" s="21" t="n">
        <x:v>100</x:v>
      </x:c>
      <x:c r="O236" s="21" t="n">
        <x:v>87</x:v>
      </x:c>
      <x:c r="P236" s="21" t="n">
        <x:v>997</x:v>
      </x:c>
      <x:c r="Q236" s="21" t="n">
        <x:v>1</x:v>
      </x:c>
      <x:c r="R236" s="21" t="n">
        <x:v>0</x:v>
      </x:c>
      <x:c r="S236" s="17" t="str">
        <x:v>소제동 해산물</x:v>
      </x:c>
      <x:c r="T236" s="22" t="n">
        <x:v>36.3400182</x:v>
      </x:c>
      <x:c r="U236" s="22" t="n">
        <x:v>127.4361394</x:v>
      </x:c>
    </x:row>
    <x:row r="237" ht="32" customHeight="1">
      <x:c r="A237" s="18" t="str">
        <x:v>pending</x:v>
      </x:c>
      <x:c r="B237" s="18" t="str">
        <x:v>동구</x:v>
      </x:c>
      <x:c r="C237" s="17" t="str">
        <x:v>중앙해물칼국수</x:v>
      </x:c>
      <x:c r="D237" s="17" t="str">
        <x:v>한식&gt;칼국수,만두</x:v>
      </x:c>
      <x:c r="E237" s="19" t="n">
        <x:v>62</x:v>
      </x:c>
      <x:c r="F237" s="17" t="str">
        <x:v>지역성: 칼국수; 최근 12개월 블로그 100건</x:v>
      </x:c>
      <x:c r="G237" s="17" t="str">
        <x:v>대전광역시 동구 중동 28-46</x:v>
      </x:c>
      <x:c r="H237" s="17" t="str">
        <x:v>대전광역시 동구 대전로791번길 40</x:v>
      </x:c>
      <x:c r="I237" s="18" t="e">
        <x:f>HYPERLINK("https://search.naver.com/search.naver?where=blog&amp;query=%EC%A4%91%EC%95%99%ED%95%B4%EB%AC%BC%EC%B9%BC%EA%B5%AD%EC%88%98+%EB%8F%99%EA%B5%AC","블로그 보기")</x:f>
        <x:v>HYPERLINK is not implemented. linkLocation=https://search.naver.com/search.naver?where=blog&amp;query=%EC%A4%91%EC%95%99%ED%95%B4%EB%AC%BC%EC%B9%BC%EA%B5%AD%EC%88%98+%EB%8F%99%EA%B5%AC, friendlyName=블로그 보기</x:v>
      </x:c>
      <x:c r="J237" s="18" t="str"/>
      <x:c r="K237" s="18" t="str"/>
      <x:c r="L237" s="17" t="str"/>
      <x:c r="M237" s="20" t="n">
        <x:v>46223</x:v>
      </x:c>
      <x:c r="N237" s="21" t="n">
        <x:v>100</x:v>
      </x:c>
      <x:c r="O237" s="21" t="n">
        <x:v>99</x:v>
      </x:c>
      <x:c r="P237" s="21" t="n">
        <x:v>3286</x:v>
      </x:c>
      <x:c r="Q237" s="21" t="n">
        <x:v>1</x:v>
      </x:c>
      <x:c r="R237" s="21" t="n">
        <x:v>1</x:v>
      </x:c>
      <x:c r="S237" s="17" t="str">
        <x:v>대전역 두부두루치기</x:v>
      </x:c>
      <x:c r="T237" s="22" t="n">
        <x:v>36.3295961</x:v>
      </x:c>
      <x:c r="U237" s="22" t="n">
        <x:v>127.4310129</x:v>
      </x:c>
    </x:row>
    <x:row r="238" ht="32" customHeight="1">
      <x:c r="A238" s="18" t="str">
        <x:v>pending</x:v>
      </x:c>
      <x:c r="B238" s="18" t="str">
        <x:v>동구</x:v>
      </x:c>
      <x:c r="C238" s="17" t="str">
        <x:v>굴세상 원동점</x:v>
      </x:c>
      <x:c r="D238" s="17" t="str">
        <x:v>한식&gt;굴요리</x:v>
      </x:c>
      <x:c r="E238" s="19" t="n">
        <x:v>61</x:v>
      </x:c>
      <x:c r="F238" s="17" t="str">
        <x:v>최근 12개월 블로그 9건</x:v>
      </x:c>
      <x:c r="G238" s="17" t="str">
        <x:v>대전광역시 동구 원동 46-5 1층</x:v>
      </x:c>
      <x:c r="H238" s="17" t="str">
        <x:v>대전광역시 동구 중교로 130-8 1층</x:v>
      </x:c>
      <x:c r="I238" s="18" t="e">
        <x:f>HYPERLINK("https://search.naver.com/search.naver?where=blog&amp;query=%EA%B5%B4%EC%84%B8%EC%83%81+%EC%9B%90%EB%8F%99%EC%A0%90+%EB%8F%99%EA%B5%AC","블로그 보기")</x:f>
        <x:v>HYPERLINK is not implemented. linkLocation=https://search.naver.com/search.naver?where=blog&amp;query=%EA%B5%B4%EC%84%B8%EC%83%81+%EC%9B%90%EB%8F%99%EC%A0%90+%EB%8F%99%EA%B5%AC, friendlyName=블로그 보기</x:v>
      </x:c>
      <x:c r="J238" s="18" t="str"/>
      <x:c r="K238" s="18" t="str"/>
      <x:c r="L238" s="17" t="str"/>
      <x:c r="M238" s="20" t="n">
        <x:v>46176</x:v>
      </x:c>
      <x:c r="N238" s="21" t="n">
        <x:v>9</x:v>
      </x:c>
      <x:c r="O238" s="21" t="n">
        <x:v>18</x:v>
      </x:c>
      <x:c r="P238" s="21" t="n">
        <x:v>18</x:v>
      </x:c>
      <x:c r="Q238" s="21" t="n">
        <x:v>3</x:v>
      </x:c>
      <x:c r="R238" s="21" t="n">
        <x:v>2</x:v>
      </x:c>
      <x:c r="S238" s="17" t="str">
        <x:v>대전역 국밥 | 대전역 냉면 | 대전역 해산물</x:v>
      </x:c>
      <x:c r="T238" s="22" t="n">
        <x:v>36.3284128</x:v>
      </x:c>
      <x:c r="U238" s="22" t="n">
        <x:v>127.4335666</x:v>
      </x:c>
    </x:row>
    <x:row r="239" ht="32" customHeight="1">
      <x:c r="A239" s="18" t="str">
        <x:v>pending</x:v>
      </x:c>
      <x:c r="B239" s="18" t="str">
        <x:v>동구</x:v>
      </x:c>
      <x:c r="C239" s="17" t="str">
        <x:v>김밥천국 대전역점</x:v>
      </x:c>
      <x:c r="D239" s="17" t="str">
        <x:v>음식점&gt;분식</x:v>
      </x:c>
      <x:c r="E239" s="19" t="n">
        <x:v>61</x:v>
      </x:c>
      <x:c r="F239" s="17" t="str">
        <x:v>지역성: 대전; 최근 12개월 블로그 11건</x:v>
      </x:c>
      <x:c r="G239" s="17" t="str">
        <x:v>대전광역시 동구 정동 17-8</x:v>
      </x:c>
      <x:c r="H239" s="17" t="str">
        <x:v>대전광역시 동구 대전로 814</x:v>
      </x:c>
      <x:c r="I239" s="18" t="e">
        <x:f>HYPERLINK("https://search.naver.com/search.naver?where=blog&amp;query=%EA%B9%80%EB%B0%A5%EC%B2%9C%EA%B5%AD+%EB%8C%80%EC%A0%84%EC%97%AD%EC%A0%90+%EB%8F%99%EA%B5%AC","블로그 보기")</x:f>
        <x:v>HYPERLINK is not implemented. linkLocation=https://search.naver.com/search.naver?where=blog&amp;query=%EA%B9%80%EB%B0%A5%EC%B2%9C%EA%B5%AD+%EB%8C%80%EC%A0%84%EC%97%AD%EC%A0%90+%EB%8F%99%EA%B5%AC, friendlyName=블로그 보기</x:v>
      </x:c>
      <x:c r="J239" s="18" t="str"/>
      <x:c r="K239" s="18" t="str"/>
      <x:c r="L239" s="17" t="str"/>
      <x:c r="M239" s="20" t="n">
        <x:v>46149</x:v>
      </x:c>
      <x:c r="N239" s="21" t="n">
        <x:v>11</x:v>
      </x:c>
      <x:c r="O239" s="21" t="n">
        <x:v>37</x:v>
      </x:c>
      <x:c r="P239" s="21" t="n">
        <x:v>80</x:v>
      </x:c>
      <x:c r="Q239" s="21" t="n">
        <x:v>2</x:v>
      </x:c>
      <x:c r="R239" s="21" t="n">
        <x:v>1</x:v>
      </x:c>
      <x:c r="S239" s="17" t="str">
        <x:v>대전역 분식</x:v>
      </x:c>
      <x:c r="T239" s="22" t="n">
        <x:v>36.3321765</x:v>
      </x:c>
      <x:c r="U239" s="22" t="n">
        <x:v>127.4323866</x:v>
      </x:c>
    </x:row>
    <x:row r="240" ht="32" customHeight="1">
      <x:c r="A240" s="18" t="str">
        <x:v>pending</x:v>
      </x:c>
      <x:c r="B240" s="18" t="str">
        <x:v>동구</x:v>
      </x:c>
      <x:c r="C240" s="17" t="str">
        <x:v>나도야막창구이</x:v>
      </x:c>
      <x:c r="D240" s="17" t="str">
        <x:v>한식&gt;곱창,막창,양</x:v>
      </x:c>
      <x:c r="E240" s="19" t="n">
        <x:v>61</x:v>
      </x:c>
      <x:c r="F240" s="17" t="str">
        <x:v>최근 12개월 블로그 26건</x:v>
      </x:c>
      <x:c r="G240" s="17" t="str">
        <x:v>대전광역시 동구 용운동 451-25 1층 나도야막창구이</x:v>
      </x:c>
      <x:c r="H240" s="17" t="str">
        <x:v>대전광역시 동구 계족로140번길 178 1층 나도야막창구이</x:v>
      </x:c>
      <x:c r="I240" s="18" t="e">
        <x:f>HYPERLINK("https://search.naver.com/search.naver?where=blog&amp;query=%EB%82%98%EB%8F%84%EC%95%BC%EB%A7%89%EC%B0%BD%EA%B5%AC%EC%9D%B4+%EB%8F%99%EA%B5%AC","블로그 보기")</x:f>
        <x:v>HYPERLINK is not implemented. linkLocation=https://search.naver.com/search.naver?where=blog&amp;query=%EB%82%98%EB%8F%84%EC%95%BC%EB%A7%89%EC%B0%BD%EA%B5%AC%EC%9D%B4+%EB%8F%99%EA%B5%AC, friendlyName=블로그 보기</x:v>
      </x:c>
      <x:c r="J240" s="18" t="str"/>
      <x:c r="K240" s="18" t="str"/>
      <x:c r="L240" s="17" t="str"/>
      <x:c r="M240" s="20" t="n">
        <x:v>46212</x:v>
      </x:c>
      <x:c r="N240" s="21" t="n">
        <x:v>26</x:v>
      </x:c>
      <x:c r="O240" s="21" t="n">
        <x:v>94</x:v>
      </x:c>
      <x:c r="P240" s="21" t="n">
        <x:v>142</x:v>
      </x:c>
      <x:c r="Q240" s="21" t="n">
        <x:v>3</x:v>
      </x:c>
      <x:c r="R240" s="21" t="n">
        <x:v>1</x:v>
      </x:c>
      <x:c r="S240" s="17" t="str">
        <x:v>용운동 고기 | 용운동 맛집 | 용운동 한식</x:v>
      </x:c>
      <x:c r="T240" s="22" t="n">
        <x:v>36.3281511</x:v>
      </x:c>
      <x:c r="U240" s="22" t="n">
        <x:v>127.4539601</x:v>
      </x:c>
    </x:row>
    <x:row r="241" ht="32" customHeight="1">
      <x:c r="A241" s="18" t="str">
        <x:v>pending</x:v>
      </x:c>
      <x:c r="B241" s="18" t="str">
        <x:v>동구</x:v>
      </x:c>
      <x:c r="C241" s="17" t="str">
        <x:v>동북아</x:v>
      </x:c>
      <x:c r="D241" s="17" t="str">
        <x:v>중식&gt;중식당</x:v>
      </x:c>
      <x:c r="E241" s="19" t="n">
        <x:v>61</x:v>
      </x:c>
      <x:c r="F241" s="17" t="str">
        <x:v>최근 12개월 블로그 100건</x:v>
      </x:c>
      <x:c r="G241" s="17" t="str">
        <x:v>대전광역시 동구 소제동 299-357 1층</x:v>
      </x:c>
      <x:c r="H241" s="17" t="str">
        <x:v>대전광역시 동구 철갑길 45 1층</x:v>
      </x:c>
      <x:c r="I241" s="18" t="e">
        <x:f>HYPERLINK("https://search.naver.com/search.naver?where=blog&amp;query=%EB%8F%99%EB%B6%81%EC%95%84+%EB%8F%99%EA%B5%AC","블로그 보기")</x:f>
        <x:v>HYPERLINK is not implemented. linkLocation=https://search.naver.com/search.naver?where=blog&amp;query=%EB%8F%99%EB%B6%81%EC%95%84+%EB%8F%99%EA%B5%AC, friendlyName=블로그 보기</x:v>
      </x:c>
      <x:c r="J241" s="18" t="str"/>
      <x:c r="K241" s="18" t="str"/>
      <x:c r="L241" s="17" t="str"/>
      <x:c r="M241" s="20" t="n">
        <x:v>46222</x:v>
      </x:c>
      <x:c r="N241" s="21" t="n">
        <x:v>100</x:v>
      </x:c>
      <x:c r="O241" s="21" t="n">
        <x:v>98</x:v>
      </x:c>
      <x:c r="P241" s="21" t="n">
        <x:v>10666</x:v>
      </x:c>
      <x:c r="Q241" s="21" t="n">
        <x:v>2</x:v>
      </x:c>
      <x:c r="R241" s="21" t="n">
        <x:v>1</x:v>
      </x:c>
      <x:c r="S241" s="17" t="str">
        <x:v>소제동 중식</x:v>
      </x:c>
      <x:c r="T241" s="22" t="n">
        <x:v>36.3348015</x:v>
      </x:c>
      <x:c r="U241" s="22" t="n">
        <x:v>127.4378124</x:v>
      </x:c>
    </x:row>
    <x:row r="242" ht="32" customHeight="1">
      <x:c r="A242" s="18" t="str">
        <x:v>pending</x:v>
      </x:c>
      <x:c r="B242" s="18" t="str">
        <x:v>동구</x:v>
      </x:c>
      <x:c r="C242" s="17" t="str">
        <x:v>에이스분식</x:v>
      </x:c>
      <x:c r="D242" s="17" t="str">
        <x:v>분식&gt;종합분식</x:v>
      </x:c>
      <x:c r="E242" s="19" t="n">
        <x:v>61</x:v>
      </x:c>
      <x:c r="F242" s="17" t="str">
        <x:v>최근 12개월 블로그 60건</x:v>
      </x:c>
      <x:c r="G242" s="17" t="str">
        <x:v>대전광역시 동구 중동 82-8 라동 1층</x:v>
      </x:c>
      <x:c r="H242" s="17" t="str">
        <x:v>대전광역시 동구 대전로785번길 50 라동 1층</x:v>
      </x:c>
      <x:c r="I242" s="18" t="e">
        <x:f>HYPERLINK("https://search.naver.com/search.naver?where=blog&amp;query=%EC%97%90%EC%9D%B4%EC%8A%A4%EB%B6%84%EC%8B%9D+%EB%9D%BC%EB%8F%99","블로그 보기")</x:f>
        <x:v>HYPERLINK is not implemented. linkLocation=https://search.naver.com/search.naver?where=blog&amp;query=%EC%97%90%EC%9D%B4%EC%8A%A4%EB%B6%84%EC%8B%9D+%EB%9D%BC%EB%8F%99, friendlyName=블로그 보기</x:v>
      </x:c>
      <x:c r="J242" s="18" t="str"/>
      <x:c r="K242" s="18" t="str"/>
      <x:c r="L242" s="17" t="str"/>
      <x:c r="M242" s="20" t="n">
        <x:v>46222</x:v>
      </x:c>
      <x:c r="N242" s="21" t="n">
        <x:v>60</x:v>
      </x:c>
      <x:c r="O242" s="21" t="n">
        <x:v>73</x:v>
      </x:c>
      <x:c r="P242" s="21" t="n">
        <x:v>108</x:v>
      </x:c>
      <x:c r="Q242" s="21" t="n">
        <x:v>3</x:v>
      </x:c>
      <x:c r="R242" s="21" t="n">
        <x:v>1</x:v>
      </x:c>
      <x:c r="S242" s="17" t="str">
        <x:v>대전역 분식 | 소제동 분식</x:v>
      </x:c>
      <x:c r="T242" s="22" t="n">
        <x:v>36.3289824</x:v>
      </x:c>
      <x:c r="U242" s="22" t="n">
        <x:v>127.4307569</x:v>
      </x:c>
    </x:row>
    <x:row r="243" ht="32" customHeight="1">
      <x:c r="A243" s="18" t="str">
        <x:v>pending</x:v>
      </x:c>
      <x:c r="B243" s="18" t="str">
        <x:v>동구</x:v>
      </x:c>
      <x:c r="C243" s="17" t="str">
        <x:v>옥천식당</x:v>
      </x:c>
      <x:c r="D243" s="17" t="str">
        <x:v>음식점&gt;한식</x:v>
      </x:c>
      <x:c r="E243" s="19" t="n">
        <x:v>61</x:v>
      </x:c>
      <x:c r="F243" s="17" t="str">
        <x:v>최근 12개월 블로그 100건</x:v>
      </x:c>
      <x:c r="G243" s="17" t="str">
        <x:v>대전광역시 동구 중동 81-6</x:v>
      </x:c>
      <x:c r="H243" s="17" t="str">
        <x:v>대전광역시 동구 대전로791번길 29</x:v>
      </x:c>
      <x:c r="I243" s="18" t="e">
        <x:f>HYPERLINK("https://search.naver.com/search.naver?where=blog&amp;query=%EC%98%A5%EC%B2%9C%EC%8B%9D%EB%8B%B9+%EB%8F%99%EA%B5%AC","블로그 보기")</x:f>
        <x:v>HYPERLINK is not implemented. linkLocation=https://search.naver.com/search.naver?where=blog&amp;query=%EC%98%A5%EC%B2%9C%EC%8B%9D%EB%8B%B9+%EB%8F%99%EA%B5%AC, friendlyName=블로그 보기</x:v>
      </x:c>
      <x:c r="J243" s="18" t="str"/>
      <x:c r="K243" s="18" t="str"/>
      <x:c r="L243" s="17" t="str"/>
      <x:c r="M243" s="20" t="n">
        <x:v>46221</x:v>
      </x:c>
      <x:c r="N243" s="21" t="n">
        <x:v>100</x:v>
      </x:c>
      <x:c r="O243" s="21" t="n">
        <x:v>77</x:v>
      </x:c>
      <x:c r="P243" s="21" t="n">
        <x:v>5668</x:v>
      </x:c>
      <x:c r="Q243" s="21" t="n">
        <x:v>2</x:v>
      </x:c>
      <x:c r="R243" s="21" t="n">
        <x:v>1</x:v>
      </x:c>
      <x:c r="S243" s="17" t="str">
        <x:v>대전역 두부두루치기</x:v>
      </x:c>
      <x:c r="T243" s="22" t="n">
        <x:v>36.3296438</x:v>
      </x:c>
      <x:c r="U243" s="22" t="n">
        <x:v>127.4316263</x:v>
      </x:c>
    </x:row>
    <x:row r="244" ht="32" customHeight="1">
      <x:c r="A244" s="18" t="str">
        <x:v>pending</x:v>
      </x:c>
      <x:c r="B244" s="18" t="str">
        <x:v>동구</x:v>
      </x:c>
      <x:c r="C244" s="17" t="str">
        <x:v>일상</x:v>
      </x:c>
      <x:c r="D244" s="17" t="str">
        <x:v>술집&gt;이자카야</x:v>
      </x:c>
      <x:c r="E244" s="19" t="n">
        <x:v>61</x:v>
      </x:c>
      <x:c r="F244" s="17" t="str">
        <x:v>최근 12개월 블로그 100건</x:v>
      </x:c>
      <x:c r="G244" s="17" t="str">
        <x:v>대전광역시 동구 용운동 294-14 1층 일상</x:v>
      </x:c>
      <x:c r="H244" s="17" t="str">
        <x:v>대전광역시 동구 용운로 143 1층 일상</x:v>
      </x:c>
      <x:c r="I244" s="18" t="e">
        <x:f>HYPERLINK("https://search.naver.com/search.naver?where=blog&amp;query=%EC%9D%BC%EC%83%81+%EB%8F%99%EA%B5%AC","블로그 보기")</x:f>
        <x:v>HYPERLINK is not implemented. linkLocation=https://search.naver.com/search.naver?where=blog&amp;query=%EC%9D%BC%EC%83%81+%EB%8F%99%EA%B5%AC, friendlyName=블로그 보기</x:v>
      </x:c>
      <x:c r="J244" s="18" t="str"/>
      <x:c r="K244" s="18" t="str"/>
      <x:c r="L244" s="17" t="str"/>
      <x:c r="M244" s="20" t="n">
        <x:v>46223</x:v>
      </x:c>
      <x:c r="N244" s="21" t="n">
        <x:v>100</x:v>
      </x:c>
      <x:c r="O244" s="21" t="n">
        <x:v>64</x:v>
      </x:c>
      <x:c r="P244" s="21" t="n">
        <x:v>317977</x:v>
      </x:c>
      <x:c r="Q244" s="21" t="n">
        <x:v>2</x:v>
      </x:c>
      <x:c r="R244" s="21" t="n">
        <x:v>1</x:v>
      </x:c>
      <x:c r="S244" s="17" t="str">
        <x:v>용운동 일식</x:v>
      </x:c>
      <x:c r="T244" s="22" t="n">
        <x:v>36.3282142</x:v>
      </x:c>
      <x:c r="U244" s="22" t="n">
        <x:v>127.458322</x:v>
      </x:c>
    </x:row>
    <x:row r="245" ht="32" customHeight="1">
      <x:c r="A245" s="18" t="str">
        <x:v>pending</x:v>
      </x:c>
      <x:c r="B245" s="18" t="str">
        <x:v>동구</x:v>
      </x:c>
      <x:c r="C245" s="17" t="str">
        <x:v>한마음정육식당 대전판암점</x:v>
      </x:c>
      <x:c r="D245" s="17" t="str">
        <x:v>음식점&gt;한식&gt;육류,고기요리</x:v>
      </x:c>
      <x:c r="E245" s="19" t="n">
        <x:v>61</x:v>
      </x:c>
      <x:c r="F245" s="17" t="str">
        <x:v>지역성: 대전; 최근 12개월 블로그 100건</x:v>
      </x:c>
      <x:c r="G245" s="17" t="str">
        <x:v>대전광역시 동구 판암동 840 1층</x:v>
      </x:c>
      <x:c r="H245" s="17" t="str">
        <x:v>대전광역시 동구 동부로10번길 5 1층</x:v>
      </x:c>
      <x:c r="I245" s="18" t="e">
        <x:f>HYPERLINK("https://search.naver.com/search.naver?where=blog&amp;query=%ED%95%9C%EB%A7%88%EC%9D%8C%EC%A0%95%EC%9C%A1%EC%8B%9D%EB%8B%B9+%EB%8C%80%EC%A0%84%ED%8C%90%EC%95%94%EC%A0%90+%EB%8F%99%EA%B5%AC","블로그 보기")</x:f>
        <x:v>HYPERLINK is not implemented. linkLocation=https://search.naver.com/search.naver?where=blog&amp;query=%ED%95%9C%EB%A7%88%EC%9D%8C%EC%A0%95%EC%9C%A1%EC%8B%9D%EB%8B%B9+%EB%8C%80%EC%A0%84%ED%8C%90%EC%95%94%EC%A0%90+%EB%8F%99%EA%B5%AC, friendlyName=블로그 보기</x:v>
      </x:c>
      <x:c r="J245" s="18" t="str"/>
      <x:c r="K245" s="18" t="str"/>
      <x:c r="L245" s="17" t="str"/>
      <x:c r="M245" s="20" t="n">
        <x:v>46220</x:v>
      </x:c>
      <x:c r="N245" s="21" t="n">
        <x:v>100</x:v>
      </x:c>
      <x:c r="O245" s="21" t="n">
        <x:v>90</x:v>
      </x:c>
      <x:c r="P245" s="21" t="n">
        <x:v>658</x:v>
      </x:c>
      <x:c r="Q245" s="21" t="n">
        <x:v>2</x:v>
      </x:c>
      <x:c r="R245" s="21" t="n">
        <x:v>0</x:v>
      </x:c>
      <x:c r="S245" s="17" t="str">
        <x:v>판암동 맛집 | 판암동 한식</x:v>
      </x:c>
      <x:c r="T245" s="22" t="n">
        <x:v>36.318135</x:v>
      </x:c>
      <x:c r="U245" s="22" t="n">
        <x:v>127.4568295</x:v>
      </x:c>
    </x:row>
    <x:row r="246" ht="32" customHeight="1">
      <x:c r="A246" s="18" t="str">
        <x:v>pending</x:v>
      </x:c>
      <x:c r="B246" s="18" t="str">
        <x:v>동구</x:v>
      </x:c>
      <x:c r="C246" s="17" t="str">
        <x:v>해정손칼국수</x:v>
      </x:c>
      <x:c r="D246" s="17" t="str">
        <x:v>한식&gt;칼국수,만두</x:v>
      </x:c>
      <x:c r="E246" s="19" t="n">
        <x:v>61</x:v>
      </x:c>
      <x:c r="F246" s="17" t="str">
        <x:v>지역성: 칼국수; 최근 12개월 블로그 11건</x:v>
      </x:c>
      <x:c r="G246" s="17" t="str">
        <x:v>대전광역시 동구 판암동 214-5 1층</x:v>
      </x:c>
      <x:c r="H246" s="17" t="str">
        <x:v>대전광역시 동구 판암로 25 1층</x:v>
      </x:c>
      <x:c r="I246" s="18" t="e">
        <x:f>HYPERLINK("https://search.naver.com/search.naver?where=blog&amp;query=%ED%95%B4%EC%A0%95%EC%86%90%EC%B9%BC%EA%B5%AD%EC%88%98+%EB%8F%99%EA%B5%AC","블로그 보기")</x:f>
        <x:v>HYPERLINK is not implemented. linkLocation=https://search.naver.com/search.naver?where=blog&amp;query=%ED%95%B4%EC%A0%95%EC%86%90%EC%B9%BC%EA%B5%AD%EC%88%98+%EB%8F%99%EA%B5%AC, friendlyName=블로그 보기</x:v>
      </x:c>
      <x:c r="J246" s="18" t="str"/>
      <x:c r="K246" s="18" t="str"/>
      <x:c r="L246" s="17" t="str"/>
      <x:c r="M246" s="20" t="n">
        <x:v>46219</x:v>
      </x:c>
      <x:c r="N246" s="21" t="n">
        <x:v>11</x:v>
      </x:c>
      <x:c r="O246" s="21" t="n">
        <x:v>50</x:v>
      </x:c>
      <x:c r="P246" s="21" t="n">
        <x:v>53</x:v>
      </x:c>
      <x:c r="Q246" s="21" t="n">
        <x:v>2</x:v>
      </x:c>
      <x:c r="R246" s="21" t="n">
        <x:v>1</x:v>
      </x:c>
      <x:c r="S246" s="17" t="str">
        <x:v>판암동 칼국수</x:v>
      </x:c>
      <x:c r="T246" s="22" t="n">
        <x:v>36.317937</x:v>
      </x:c>
      <x:c r="U246" s="22" t="n">
        <x:v>127.462952</x:v>
      </x:c>
    </x:row>
    <x:row r="247" ht="32" customHeight="1">
      <x:c r="A247" s="18" t="str">
        <x:v>pending</x:v>
      </x:c>
      <x:c r="B247" s="18" t="str">
        <x:v>동구</x:v>
      </x:c>
      <x:c r="C247" s="17" t="str">
        <x:v>투데이유통</x:v>
      </x:c>
      <x:c r="D247" s="17" t="str">
        <x:v>음식점&gt;일식&gt;돈가스</x:v>
      </x:c>
      <x:c r="E247" s="19" t="n">
        <x:v>60</x:v>
      </x:c>
      <x:c r="F247" s="17" t="str">
        <x:v>최근 12개월 블로그 100건</x:v>
      </x:c>
      <x:c r="G247" s="17" t="str">
        <x:v>대전광역시 동구 용운동 598</x:v>
      </x:c>
      <x:c r="H247" s="17" t="str">
        <x:v>대전광역시 동구 대학로 102-7</x:v>
      </x:c>
      <x:c r="I247" s="18" t="e">
        <x:f>HYPERLINK("https://search.naver.com/search.naver?where=blog&amp;query=%ED%88%AC%EB%8D%B0%EC%9D%B4%EC%9C%A0%ED%86%B5+%EB%8F%99%EA%B5%AC","블로그 보기")</x:f>
        <x:v>HYPERLINK is not implemented. linkLocation=https://search.naver.com/search.naver?where=blog&amp;query=%ED%88%AC%EB%8D%B0%EC%9D%B4%EC%9C%A0%ED%86%B5+%EB%8F%99%EA%B5%AC, friendlyName=블로그 보기</x:v>
      </x:c>
      <x:c r="J247" s="18" t="str"/>
      <x:c r="K247" s="18" t="str"/>
      <x:c r="L247" s="17" t="str"/>
      <x:c r="M247" s="20" t="n">
        <x:v>46219</x:v>
      </x:c>
      <x:c r="N247" s="21" t="n">
        <x:v>100</x:v>
      </x:c>
      <x:c r="O247" s="21" t="n">
        <x:v>50</x:v>
      </x:c>
      <x:c r="P247" s="21" t="n">
        <x:v>1447</x:v>
      </x:c>
      <x:c r="Q247" s="21" t="n">
        <x:v>2</x:v>
      </x:c>
      <x:c r="R247" s="21" t="n">
        <x:v>1</x:v>
      </x:c>
      <x:c r="S247" s="17" t="str">
        <x:v>용운동 일식</x:v>
      </x:c>
      <x:c r="T247" s="22" t="n">
        <x:v>36.3388328</x:v>
      </x:c>
      <x:c r="U247" s="22" t="n">
        <x:v>127.4580126</x:v>
      </x:c>
    </x:row>
    <x:row r="248" ht="32" customHeight="1">
      <x:c r="A248" s="18" t="str">
        <x:v>pending</x:v>
      </x:c>
      <x:c r="B248" s="18" t="str">
        <x:v>동구</x:v>
      </x:c>
      <x:c r="C248" s="17" t="str">
        <x:v>가양막창</x:v>
      </x:c>
      <x:c r="D248" s="17" t="str">
        <x:v>한식&gt;곱창,막창,양</x:v>
      </x:c>
      <x:c r="E248" s="19" t="n">
        <x:v>59</x:v>
      </x:c>
      <x:c r="F248" s="17" t="str">
        <x:v>최근 12개월 블로그 100건</x:v>
      </x:c>
      <x:c r="G248" s="17" t="str">
        <x:v>대전광역시 동구 가양동 414-8 가양막창</x:v>
      </x:c>
      <x:c r="H248" s="17" t="str">
        <x:v>대전광역시 동구 동대전로 277 가양막창</x:v>
      </x:c>
      <x:c r="I248" s="18" t="e">
        <x:f>HYPERLINK("https://search.naver.com/search.naver?where=blog&amp;query=%EA%B0%80%EC%96%91%EB%A7%89%EC%B0%BD+%EB%8F%99%EA%B5%AC","블로그 보기")</x:f>
        <x:v>HYPERLINK is not implemented. linkLocation=https://search.naver.com/search.naver?where=blog&amp;query=%EA%B0%80%EC%96%91%EB%A7%89%EC%B0%BD+%EB%8F%99%EA%B5%AC, friendlyName=블로그 보기</x:v>
      </x:c>
      <x:c r="J248" s="18" t="str"/>
      <x:c r="K248" s="18" t="str"/>
      <x:c r="L248" s="17" t="str"/>
      <x:c r="M248" s="20" t="n">
        <x:v>46223</x:v>
      </x:c>
      <x:c r="N248" s="21" t="n">
        <x:v>100</x:v>
      </x:c>
      <x:c r="O248" s="21" t="n">
        <x:v>84</x:v>
      </x:c>
      <x:c r="P248" s="21" t="n">
        <x:v>658</x:v>
      </x:c>
      <x:c r="Q248" s="21" t="n">
        <x:v>2</x:v>
      </x:c>
      <x:c r="R248" s="21" t="n">
        <x:v>1</x:v>
      </x:c>
      <x:c r="S248" s="17" t="str">
        <x:v>용운동 노포</x:v>
      </x:c>
      <x:c r="T248" s="22" t="n">
        <x:v>36.3454168</x:v>
      </x:c>
      <x:c r="U248" s="22" t="n">
        <x:v>127.4452075</x:v>
      </x:c>
    </x:row>
    <x:row r="249" ht="32" customHeight="1">
      <x:c r="A249" s="18" t="str">
        <x:v>pending</x:v>
      </x:c>
      <x:c r="B249" s="18" t="str">
        <x:v>동구</x:v>
      </x:c>
      <x:c r="C249" s="17" t="str">
        <x:v>대전한우</x:v>
      </x:c>
      <x:c r="D249" s="17" t="str">
        <x:v>한식&gt;소고기구이</x:v>
      </x:c>
      <x:c r="E249" s="19" t="n">
        <x:v>59</x:v>
      </x:c>
      <x:c r="F249" s="17" t="str">
        <x:v>지역성: 대전; 최근 12개월 블로그 100건</x:v>
      </x:c>
      <x:c r="G249" s="17" t="str">
        <x:v>대전광역시 동구 중동 21-9</x:v>
      </x:c>
      <x:c r="H249" s="17" t="str">
        <x:v>대전광역시 동구 태전로 11</x:v>
      </x:c>
      <x:c r="I249" s="18" t="e">
        <x:f>HYPERLINK("https://search.naver.com/search.naver?where=blog&amp;query=%EB%8C%80%EC%A0%84%ED%95%9C%EC%9A%B0+%EB%8F%99%EA%B5%AC","블로그 보기")</x:f>
        <x:v>HYPERLINK is not implemented. linkLocation=https://search.naver.com/search.naver?where=blog&amp;query=%EB%8C%80%EC%A0%84%ED%95%9C%EC%9A%B0+%EB%8F%99%EA%B5%AC, friendlyName=블로그 보기</x:v>
      </x:c>
      <x:c r="J249" s="18" t="str"/>
      <x:c r="K249" s="18" t="str"/>
      <x:c r="L249" s="17" t="str"/>
      <x:c r="M249" s="20" t="n">
        <x:v>46223</x:v>
      </x:c>
      <x:c r="N249" s="21" t="n">
        <x:v>100</x:v>
      </x:c>
      <x:c r="O249" s="21" t="n">
        <x:v>87</x:v>
      </x:c>
      <x:c r="P249" s="21" t="n">
        <x:v>10215</x:v>
      </x:c>
      <x:c r="Q249" s="21" t="n">
        <x:v>1</x:v>
      </x:c>
      <x:c r="R249" s="21" t="n">
        <x:v>0</x:v>
      </x:c>
      <x:c r="S249" s="17" t="str">
        <x:v>대전역 냉면</x:v>
      </x:c>
      <x:c r="T249" s="22" t="n">
        <x:v>36.3316123</x:v>
      </x:c>
      <x:c r="U249" s="22" t="n">
        <x:v>127.4305931</x:v>
      </x:c>
    </x:row>
    <x:row r="250" ht="32" customHeight="1">
      <x:c r="A250" s="18" t="str">
        <x:v>pending</x:v>
      </x:c>
      <x:c r="B250" s="18" t="str">
        <x:v>동구</x:v>
      </x:c>
      <x:c r="C250" s="17" t="str">
        <x:v>또또네</x:v>
      </x:c>
      <x:c r="D250" s="17" t="str">
        <x:v>음식점&gt;한식</x:v>
      </x:c>
      <x:c r="E250" s="19" t="n">
        <x:v>59</x:v>
      </x:c>
      <x:c r="F250" s="17" t="str">
        <x:v>최근 12개월 블로그 100건</x:v>
      </x:c>
      <x:c r="G250" s="17" t="str">
        <x:v>대전광역시 동구 중동 28-4 1층</x:v>
      </x:c>
      <x:c r="H250" s="17" t="str">
        <x:v>대전광역시 동구 대전로791번길 42-2 1층</x:v>
      </x:c>
      <x:c r="I250" s="18" t="e">
        <x:f>HYPERLINK("https://search.naver.com/search.naver?where=blog&amp;query=%EB%98%90%EB%98%90%EB%84%A4+%EB%8F%99%EA%B5%AC","블로그 보기")</x:f>
        <x:v>HYPERLINK is not implemented. linkLocation=https://search.naver.com/search.naver?where=blog&amp;query=%EB%98%90%EB%98%90%EB%84%A4+%EB%8F%99%EA%B5%AC, friendlyName=블로그 보기</x:v>
      </x:c>
      <x:c r="J250" s="18" t="str"/>
      <x:c r="K250" s="18" t="str"/>
      <x:c r="L250" s="17" t="str"/>
      <x:c r="M250" s="20" t="n">
        <x:v>46222</x:v>
      </x:c>
      <x:c r="N250" s="21" t="n">
        <x:v>100</x:v>
      </x:c>
      <x:c r="O250" s="21" t="n">
        <x:v>100</x:v>
      </x:c>
      <x:c r="P250" s="21" t="n">
        <x:v>234</x:v>
      </x:c>
      <x:c r="Q250" s="21" t="n">
        <x:v>3</x:v>
      </x:c>
      <x:c r="R250" s="21" t="n">
        <x:v>0</x:v>
      </x:c>
      <x:c r="S250" s="17" t="str">
        <x:v>대전역 고기 | 대전역 칼국수 | 대전역 해산물</x:v>
      </x:c>
      <x:c r="T250" s="22" t="n">
        <x:v>36.3295727</x:v>
      </x:c>
      <x:c r="U250" s="22" t="n">
        <x:v>127.4308845</x:v>
      </x:c>
    </x:row>
    <x:row r="251" ht="32" customHeight="1">
      <x:c r="A251" s="18" t="str">
        <x:v>pending</x:v>
      </x:c>
      <x:c r="B251" s="18" t="str">
        <x:v>동구</x:v>
      </x:c>
      <x:c r="C251" s="17" t="str">
        <x:v>림춘&amp;비범 가맹사업본부</x:v>
      </x:c>
      <x:c r="D251" s="17" t="str">
        <x:v>중식&gt;중식당</x:v>
      </x:c>
      <x:c r="E251" s="19" t="n">
        <x:v>59</x:v>
      </x:c>
      <x:c r="F251" s="17" t="str">
        <x:v>최근 12개월 블로그 9건</x:v>
      </x:c>
      <x:c r="G251" s="17" t="str">
        <x:v>대전광역시 동구 소제동 299-87 림춘비범가맹본부</x:v>
      </x:c>
      <x:c r="H251" s="17" t="str">
        <x:v>대전광역시 동구 수향길 89 림춘비범가맹본부</x:v>
      </x:c>
      <x:c r="I251" s="18" t="e">
        <x:f>HYPERLINK("https://search.naver.com/search.naver?where=blog&amp;query=%EB%A6%BC%EC%B6%98%26%EB%B9%84%EB%B2%94+%EA%B0%80%EB%A7%B9%EC%82%AC%EC%97%85%EB%B3%B8%EB%B6%80+%EB%8F%99%EA%B5%AC","블로그 보기")</x:f>
        <x:v>HYPERLINK is not implemented. linkLocation=https://search.naver.com/search.naver?where=blog&amp;query=%EB%A6%BC%EC%B6%98%26%EB%B9%84%EB%B2%94+%EA%B0%80%EB%A7%B9%EC%82%AC%EC%97%85%EB%B3%B8%EB%B6%80+%EB%8F%99%EA%B5%AC, friendlyName=블로그 보기</x:v>
      </x:c>
      <x:c r="J251" s="18" t="e">
        <x:f>HYPERLINK("https://www.instagram.com/limchun.official","업체 보기")</x:f>
        <x:v>HYPERLINK is not implemented. linkLocation=https://www.instagram.com/limchun.official, friendlyName=업체 보기</x:v>
      </x:c>
      <x:c r="K251" s="18" t="str"/>
      <x:c r="L251" s="17" t="str"/>
      <x:c r="M251" s="20" t="n">
        <x:v>46198</x:v>
      </x:c>
      <x:c r="N251" s="21" t="n">
        <x:v>9</x:v>
      </x:c>
      <x:c r="O251" s="21" t="n">
        <x:v>8</x:v>
      </x:c>
      <x:c r="P251" s="21" t="n">
        <x:v>13</x:v>
      </x:c>
      <x:c r="Q251" s="21" t="n">
        <x:v>3</x:v>
      </x:c>
      <x:c r="R251" s="21" t="n">
        <x:v>2</x:v>
      </x:c>
      <x:c r="S251" s="17" t="str">
        <x:v>소제동 중식 | 소제동 한식</x:v>
      </x:c>
      <x:c r="T251" s="22" t="n">
        <x:v>36.3358172</x:v>
      </x:c>
      <x:c r="U251" s="22" t="n">
        <x:v>127.4369213</x:v>
      </x:c>
    </x:row>
    <x:row r="252" ht="32" customHeight="1">
      <x:c r="A252" s="18" t="str">
        <x:v>pending</x:v>
      </x:c>
      <x:c r="B252" s="18" t="str">
        <x:v>동구</x:v>
      </x:c>
      <x:c r="C252" s="17" t="str">
        <x:v>부여순대</x:v>
      </x:c>
      <x:c r="D252" s="17" t="str">
        <x:v>한식&gt;순대,순댓국</x:v>
      </x:c>
      <x:c r="E252" s="19" t="n">
        <x:v>59</x:v>
      </x:c>
      <x:c r="F252" s="17" t="str">
        <x:v>최근 12개월 블로그 100건</x:v>
      </x:c>
      <x:c r="G252" s="17" t="str">
        <x:v>대전광역시 동구 판암동 490-4</x:v>
      </x:c>
      <x:c r="H252" s="17" t="str">
        <x:v>대전광역시 동구 동부로 5-3</x:v>
      </x:c>
      <x:c r="I252" s="18" t="e">
        <x:f>HYPERLINK("https://search.naver.com/search.naver?where=blog&amp;query=%EB%B6%80%EC%97%AC%EC%88%9C%EB%8C%80+%EB%8F%99%EA%B5%AC","블로그 보기")</x:f>
        <x:v>HYPERLINK is not implemented. linkLocation=https://search.naver.com/search.naver?where=blog&amp;query=%EB%B6%80%EC%97%AC%EC%88%9C%EB%8C%80+%EB%8F%99%EA%B5%AC, friendlyName=블로그 보기</x:v>
      </x:c>
      <x:c r="J252" s="18" t="str"/>
      <x:c r="K252" s="18" t="str"/>
      <x:c r="L252" s="17" t="str"/>
      <x:c r="M252" s="20" t="n">
        <x:v>46220</x:v>
      </x:c>
      <x:c r="N252" s="21" t="n">
        <x:v>100</x:v>
      </x:c>
      <x:c r="O252" s="21" t="n">
        <x:v>92</x:v>
      </x:c>
      <x:c r="P252" s="21" t="n">
        <x:v>728</x:v>
      </x:c>
      <x:c r="Q252" s="21" t="n">
        <x:v>2</x:v>
      </x:c>
      <x:c r="R252" s="21" t="n">
        <x:v>1</x:v>
      </x:c>
      <x:c r="S252" s="17" t="str">
        <x:v>판암동 국밥</x:v>
      </x:c>
      <x:c r="T252" s="22" t="n">
        <x:v>36.3177497</x:v>
      </x:c>
      <x:c r="U252" s="22" t="n">
        <x:v>127.4562279</x:v>
      </x:c>
    </x:row>
    <x:row r="253" ht="32" customHeight="1">
      <x:c r="A253" s="18" t="str">
        <x:v>pending</x:v>
      </x:c>
      <x:c r="B253" s="18" t="str">
        <x:v>동구</x:v>
      </x:c>
      <x:c r="C253" s="17" t="str">
        <x:v>신선 칼국수</x:v>
      </x:c>
      <x:c r="D253" s="17" t="str">
        <x:v>한식&gt;칼국수,만두</x:v>
      </x:c>
      <x:c r="E253" s="19" t="n">
        <x:v>59</x:v>
      </x:c>
      <x:c r="F253" s="17" t="str">
        <x:v>지역성: 칼국수; 최근 12개월 블로그 100건</x:v>
      </x:c>
      <x:c r="G253" s="17" t="str">
        <x:v>대전광역시 동구 대동 178-4 신선칼국수</x:v>
      </x:c>
      <x:c r="H253" s="17" t="str">
        <x:v>대전광역시 동구 계족로 188 신선칼국수</x:v>
      </x:c>
      <x:c r="I253" s="18" t="e">
        <x:f>HYPERLINK("https://search.naver.com/search.naver?where=blog&amp;query=%EC%8B%A0%EC%84%A0+%EC%B9%BC%EA%B5%AD%EC%88%98+%EB%8F%99%EA%B5%AC","블로그 보기")</x:f>
        <x:v>HYPERLINK is not implemented. linkLocation=https://search.naver.com/search.naver?where=blog&amp;query=%EC%8B%A0%EC%84%A0+%EC%B9%BC%EA%B5%AD%EC%88%98+%EB%8F%99%EA%B5%AC, friendlyName=블로그 보기</x:v>
      </x:c>
      <x:c r="J253" s="18" t="str"/>
      <x:c r="K253" s="18" t="str"/>
      <x:c r="L253" s="17" t="str"/>
      <x:c r="M253" s="20" t="n">
        <x:v>46223</x:v>
      </x:c>
      <x:c r="N253" s="21" t="n">
        <x:v>100</x:v>
      </x:c>
      <x:c r="O253" s="21" t="n">
        <x:v>98</x:v>
      </x:c>
      <x:c r="P253" s="21" t="n">
        <x:v>16494</x:v>
      </x:c>
      <x:c r="Q253" s="21" t="n">
        <x:v>1</x:v>
      </x:c>
      <x:c r="R253" s="21" t="n">
        <x:v>0</x:v>
      </x:c>
      <x:c r="S253" s="17" t="str">
        <x:v>용운동 두부두루치기</x:v>
      </x:c>
      <x:c r="T253" s="22" t="n">
        <x:v>36.3303387</x:v>
      </x:c>
      <x:c r="U253" s="22" t="n">
        <x:v>127.4422569</x:v>
      </x:c>
    </x:row>
    <x:row r="254" ht="32" customHeight="1">
      <x:c r="A254" s="18" t="str">
        <x:v>pending</x:v>
      </x:c>
      <x:c r="B254" s="18" t="str">
        <x:v>동구</x:v>
      </x:c>
      <x:c r="C254" s="17" t="str">
        <x:v>양은이네 대전용운동점</x:v>
      </x:c>
      <x:c r="D254" s="17" t="str">
        <x:v>음식점&gt;한식</x:v>
      </x:c>
      <x:c r="E254" s="19" t="n">
        <x:v>59</x:v>
      </x:c>
      <x:c r="F254" s="17" t="str">
        <x:v>지역성: 대전; 최근 12개월 블로그 11건</x:v>
      </x:c>
      <x:c r="G254" s="17" t="str">
        <x:v>대전광역시 동구 용운동 274-2 1층</x:v>
      </x:c>
      <x:c r="H254" s="17" t="str">
        <x:v>대전광역시 동구 동부로 167 1층</x:v>
      </x:c>
      <x:c r="I254" s="18" t="e">
        <x:f>HYPERLINK("https://search.naver.com/search.naver?where=blog&amp;query=%EC%96%91%EC%9D%80%EC%9D%B4%EB%84%A4+%EB%8C%80%EC%A0%84%EC%9A%A9%EC%9A%B4%EB%8F%99%EC%A0%90+%EB%8F%99%EA%B5%AC","블로그 보기")</x:f>
        <x:v>HYPERLINK is not implemented. linkLocation=https://search.naver.com/search.naver?where=blog&amp;query=%EC%96%91%EC%9D%80%EC%9D%B4%EB%84%A4+%EB%8C%80%EC%A0%84%EC%9A%A9%EC%9A%B4%EB%8F%99%EC%A0%90+%EB%8F%99%EA%B5%AC, friendlyName=블로그 보기</x:v>
      </x:c>
      <x:c r="J254" s="18" t="str"/>
      <x:c r="K254" s="18" t="str"/>
      <x:c r="L254" s="17" t="str"/>
      <x:c r="M254" s="20" t="n">
        <x:v>46050</x:v>
      </x:c>
      <x:c r="N254" s="21" t="n">
        <x:v>11</x:v>
      </x:c>
      <x:c r="O254" s="21" t="n">
        <x:v>11</x:v>
      </x:c>
      <x:c r="P254" s="21" t="n">
        <x:v>11</x:v>
      </x:c>
      <x:c r="Q254" s="21" t="n">
        <x:v>2</x:v>
      </x:c>
      <x:c r="R254" s="21" t="n">
        <x:v>1</x:v>
      </x:c>
      <x:c r="S254" s="17" t="str">
        <x:v>용운동 냉면</x:v>
      </x:c>
      <x:c r="T254" s="22" t="n">
        <x:v>36.3279975</x:v>
      </x:c>
      <x:c r="U254" s="22" t="n">
        <x:v>127.4662217</x:v>
      </x:c>
    </x:row>
    <x:row r="255" ht="32" customHeight="1">
      <x:c r="A255" s="18" t="str">
        <x:v>pending</x:v>
      </x:c>
      <x:c r="B255" s="18" t="str">
        <x:v>동구</x:v>
      </x:c>
      <x:c r="C255" s="17" t="str">
        <x:v>예담생선직화구이</x:v>
      </x:c>
      <x:c r="D255" s="17" t="str">
        <x:v>한식&gt;생선구이</x:v>
      </x:c>
      <x:c r="E255" s="19" t="n">
        <x:v>59</x:v>
      </x:c>
      <x:c r="F255" s="17" t="str">
        <x:v>최근 12개월 블로그 100건</x:v>
      </x:c>
      <x:c r="G255" s="17" t="str">
        <x:v>대전광역시 동구 용운동 282-11 1층</x:v>
      </x:c>
      <x:c r="H255" s="17" t="str">
        <x:v>대전광역시 동구 새울로109번길 8-2 1층</x:v>
      </x:c>
      <x:c r="I255" s="18" t="e">
        <x:f>HYPERLINK("https://search.naver.com/search.naver?where=blog&amp;query=%EC%98%88%EB%8B%B4%EC%83%9D%EC%84%A0%EC%A7%81%ED%99%94%EA%B5%AC%EC%9D%B4+%EB%8F%99%EA%B5%AC","블로그 보기")</x:f>
        <x:v>HYPERLINK is not implemented. linkLocation=https://search.naver.com/search.naver?where=blog&amp;query=%EC%98%88%EB%8B%B4%EC%83%9D%EC%84%A0%EC%A7%81%ED%99%94%EA%B5%AC%EC%9D%B4+%EB%8F%99%EA%B5%AC, friendlyName=블로그 보기</x:v>
      </x:c>
      <x:c r="J255" s="18" t="str"/>
      <x:c r="K255" s="18" t="str"/>
      <x:c r="L255" s="17" t="str"/>
      <x:c r="M255" s="20" t="n">
        <x:v>46219</x:v>
      </x:c>
      <x:c r="N255" s="21" t="n">
        <x:v>100</x:v>
      </x:c>
      <x:c r="O255" s="21" t="n">
        <x:v>98</x:v>
      </x:c>
      <x:c r="P255" s="21" t="n">
        <x:v>858</x:v>
      </x:c>
      <x:c r="Q255" s="21" t="n">
        <x:v>2</x:v>
      </x:c>
      <x:c r="R255" s="21" t="n">
        <x:v>1</x:v>
      </x:c>
      <x:c r="S255" s="17" t="str">
        <x:v>용운동 해산물</x:v>
      </x:c>
      <x:c r="T255" s="22" t="n">
        <x:v>36.3283259</x:v>
      </x:c>
      <x:c r="U255" s="22" t="n">
        <x:v>127.4615312</x:v>
      </x:c>
    </x:row>
    <x:row r="256" ht="32" customHeight="1">
      <x:c r="A256" s="18" t="str">
        <x:v>pending</x:v>
      </x:c>
      <x:c r="B256" s="18" t="str">
        <x:v>동구</x:v>
      </x:c>
      <x:c r="C256" s="17" t="str">
        <x:v>정동불고기</x:v>
      </x:c>
      <x:c r="D256" s="17" t="str">
        <x:v>음식점&gt;한식</x:v>
      </x:c>
      <x:c r="E256" s="19" t="n">
        <x:v>59</x:v>
      </x:c>
      <x:c r="F256" s="17" t="str">
        <x:v>최근 12개월 블로그 82건</x:v>
      </x:c>
      <x:c r="G256" s="17" t="str">
        <x:v>대전광역시 동구 중동 63-1 1층</x:v>
      </x:c>
      <x:c r="H256" s="17" t="str">
        <x:v>대전광역시 동구 중앙로203번길 15 1층</x:v>
      </x:c>
      <x:c r="I256" s="18" t="e">
        <x:f>HYPERLINK("https://search.naver.com/search.naver?where=blog&amp;query=%EC%A0%95%EB%8F%99%EB%B6%88%EA%B3%A0%EA%B8%B0+%EB%8F%99%EA%B5%AC","블로그 보기")</x:f>
        <x:v>HYPERLINK is not implemented. linkLocation=https://search.naver.com/search.naver?where=blog&amp;query=%EC%A0%95%EB%8F%99%EB%B6%88%EA%B3%A0%EA%B8%B0+%EB%8F%99%EA%B5%AC, friendlyName=블로그 보기</x:v>
      </x:c>
      <x:c r="J256" s="18" t="e">
        <x:f>HYPERLINK("https://www.instagram.com/jungdongbgg","업체 보기")</x:f>
        <x:v>HYPERLINK is not implemented. linkLocation=https://www.instagram.com/jungdongbgg, friendlyName=업체 보기</x:v>
      </x:c>
      <x:c r="K256" s="18" t="str"/>
      <x:c r="L256" s="17" t="str"/>
      <x:c r="M256" s="20" t="n">
        <x:v>46221</x:v>
      </x:c>
      <x:c r="N256" s="21" t="n">
        <x:v>82</x:v>
      </x:c>
      <x:c r="O256" s="21" t="n">
        <x:v>81</x:v>
      </x:c>
      <x:c r="P256" s="21" t="n">
        <x:v>308</x:v>
      </x:c>
      <x:c r="Q256" s="21" t="n">
        <x:v>3</x:v>
      </x:c>
      <x:c r="R256" s="21" t="n">
        <x:v>0</x:v>
      </x:c>
      <x:c r="S256" s="17" t="str">
        <x:v>대전역 고기 | 대전역 맛집 | 대전역 한식</x:v>
      </x:c>
      <x:c r="T256" s="22" t="n">
        <x:v>36.3315446</x:v>
      </x:c>
      <x:c r="U256" s="22" t="n">
        <x:v>127.4311178</x:v>
      </x:c>
    </x:row>
    <x:row r="257" ht="32" customHeight="1">
      <x:c r="A257" s="18" t="str">
        <x:v>pending</x:v>
      </x:c>
      <x:c r="B257" s="18" t="str">
        <x:v>동구</x:v>
      </x:c>
      <x:c r="C257" s="17" t="str">
        <x:v>강릉칼국수</x:v>
      </x:c>
      <x:c r="D257" s="17" t="str">
        <x:v>한식&gt;칼국수,만두</x:v>
      </x:c>
      <x:c r="E257" s="19" t="n">
        <x:v>58</x:v>
      </x:c>
      <x:c r="F257" s="17" t="str">
        <x:v>지역성: 칼국수; 최근 12개월 블로그 100건</x:v>
      </x:c>
      <x:c r="G257" s="17" t="str">
        <x:v>대전광역시 동구 자양동 192-17 1층</x:v>
      </x:c>
      <x:c r="H257" s="17" t="str">
        <x:v>대전광역시 동구 백룡로57번길 182 1층</x:v>
      </x:c>
      <x:c r="I257" s="18" t="e">
        <x:f>HYPERLINK("https://search.naver.com/search.naver?where=blog&amp;query=%EA%B0%95%EB%A6%89%EC%B9%BC%EA%B5%AD%EC%88%98+%EB%8F%99%EA%B5%AC","블로그 보기")</x:f>
        <x:v>HYPERLINK is not implemented. linkLocation=https://search.naver.com/search.naver?where=blog&amp;query=%EA%B0%95%EB%A6%89%EC%B9%BC%EA%B5%AD%EC%88%98+%EB%8F%99%EA%B5%AC, friendlyName=블로그 보기</x:v>
      </x:c>
      <x:c r="J257" s="18" t="str"/>
      <x:c r="K257" s="18" t="str"/>
      <x:c r="L257" s="17" t="str"/>
      <x:c r="M257" s="20" t="n">
        <x:v>46223</x:v>
      </x:c>
      <x:c r="N257" s="21" t="n">
        <x:v>100</x:v>
      </x:c>
      <x:c r="O257" s="21" t="n">
        <x:v>99</x:v>
      </x:c>
      <x:c r="P257" s="21" t="n">
        <x:v>1656</x:v>
      </x:c>
      <x:c r="Q257" s="21" t="n">
        <x:v>1</x:v>
      </x:c>
      <x:c r="R257" s="21" t="n">
        <x:v>0</x:v>
      </x:c>
      <x:c r="S257" s="17" t="str">
        <x:v>용운동 두부두루치기</x:v>
      </x:c>
      <x:c r="T257" s="22" t="n">
        <x:v>36.3409306</x:v>
      </x:c>
      <x:c r="U257" s="22" t="n">
        <x:v>127.4491869</x:v>
      </x:c>
    </x:row>
    <x:row r="258" ht="32" customHeight="1">
      <x:c r="A258" s="18" t="str">
        <x:v>pending</x:v>
      </x:c>
      <x:c r="B258" s="18" t="str">
        <x:v>동구</x:v>
      </x:c>
      <x:c r="C258" s="17" t="str">
        <x:v>진주냉면 본점 성남점</x:v>
      </x:c>
      <x:c r="D258" s="17" t="str">
        <x:v>한식&gt;냉면</x:v>
      </x:c>
      <x:c r="E258" s="19" t="n">
        <x:v>58</x:v>
      </x:c>
      <x:c r="F258" s="17" t="str">
        <x:v>지역성: 본점; 최근 12개월 블로그 100건</x:v>
      </x:c>
      <x:c r="G258" s="17" t="str">
        <x:v>대전광역시 동구 성남동 77-5 진주냉면</x:v>
      </x:c>
      <x:c r="H258" s="17" t="str">
        <x:v>대전광역시 동구 우암로 156 진주냉면</x:v>
      </x:c>
      <x:c r="I258" s="18" t="e">
        <x:f>HYPERLINK("https://search.naver.com/search.naver?where=blog&amp;query=%EC%A7%84%EC%A3%BC%EB%83%89%EB%A9%B4+%EB%B3%B8%EC%A0%90+%EC%84%B1%EB%82%A8%EC%A0%90+%EB%8F%99%EA%B5%AC","블로그 보기")</x:f>
        <x:v>HYPERLINK is not implemented. linkLocation=https://search.naver.com/search.naver?where=blog&amp;query=%EC%A7%84%EC%A3%BC%EB%83%89%EB%A9%B4+%EB%B3%B8%EC%A0%90+%EC%84%B1%EB%82%A8%EC%A0%90+%EB%8F%99%EA%B5%AC, friendlyName=블로그 보기</x:v>
      </x:c>
      <x:c r="J258" s="18" t="str"/>
      <x:c r="K258" s="18" t="str"/>
      <x:c r="L258" s="17" t="str"/>
      <x:c r="M258" s="20" t="n">
        <x:v>46220</x:v>
      </x:c>
      <x:c r="N258" s="21" t="n">
        <x:v>100</x:v>
      </x:c>
      <x:c r="O258" s="21" t="n">
        <x:v>95</x:v>
      </x:c>
      <x:c r="P258" s="21" t="n">
        <x:v>1038</x:v>
      </x:c>
      <x:c r="Q258" s="21" t="n">
        <x:v>1</x:v>
      </x:c>
      <x:c r="R258" s="21" t="n">
        <x:v>0</x:v>
      </x:c>
      <x:c r="S258" s="17" t="str">
        <x:v>소제동 냉면</x:v>
      </x:c>
      <x:c r="T258" s="22" t="n">
        <x:v>36.3399817</x:v>
      </x:c>
      <x:c r="U258" s="22" t="n">
        <x:v>127.4351603</x:v>
      </x:c>
    </x:row>
    <x:row r="259" ht="32" customHeight="1">
      <x:c r="A259" s="18" t="str">
        <x:v>pending</x:v>
      </x:c>
      <x:c r="B259" s="18" t="str">
        <x:v>동구</x:v>
      </x:c>
      <x:c r="C259" s="17" t="str">
        <x:v>강청골순대국밥 판암점</x:v>
      </x:c>
      <x:c r="D259" s="17" t="str">
        <x:v>한식&gt;국밥</x:v>
      </x:c>
      <x:c r="E259" s="19" t="n">
        <x:v>57</x:v>
      </x:c>
      <x:c r="F259" s="17" t="str">
        <x:v>최근 12개월 블로그 28건</x:v>
      </x:c>
      <x:c r="G259" s="17" t="str">
        <x:v>대전광역시 동구 판암동 870</x:v>
      </x:c>
      <x:c r="H259" s="17" t="str">
        <x:v>대전광역시 동구 옥천로 187</x:v>
      </x:c>
      <x:c r="I259" s="18" t="e">
        <x:f>HYPERLINK("https://search.naver.com/search.naver?where=blog&amp;query=%EA%B0%95%EC%B2%AD%EA%B3%A8%EC%88%9C%EB%8C%80%EA%B5%AD%EB%B0%A5+%ED%8C%90%EC%95%94%EC%A0%90+%EB%8F%99%EA%B5%AC","블로그 보기")</x:f>
        <x:v>HYPERLINK is not implemented. linkLocation=https://search.naver.com/search.naver?where=blog&amp;query=%EA%B0%95%EC%B2%AD%EA%B3%A8%EC%88%9C%EB%8C%80%EA%B5%AD%EB%B0%A5+%ED%8C%90%EC%95%94%EC%A0%90+%EB%8F%99%EA%B5%AC, friendlyName=블로그 보기</x:v>
      </x:c>
      <x:c r="J259" s="18" t="str"/>
      <x:c r="K259" s="18" t="str"/>
      <x:c r="L259" s="17" t="str"/>
      <x:c r="M259" s="20" t="n">
        <x:v>46219</x:v>
      </x:c>
      <x:c r="N259" s="21" t="n">
        <x:v>28</x:v>
      </x:c>
      <x:c r="O259" s="21" t="n">
        <x:v>91</x:v>
      </x:c>
      <x:c r="P259" s="21" t="n">
        <x:v>169</x:v>
      </x:c>
      <x:c r="Q259" s="21" t="n">
        <x:v>2</x:v>
      </x:c>
      <x:c r="R259" s="21" t="n">
        <x:v>1</x:v>
      </x:c>
      <x:c r="S259" s="17" t="str">
        <x:v>판암동 국밥</x:v>
      </x:c>
      <x:c r="T259" s="22" t="n">
        <x:v>36.3179719</x:v>
      </x:c>
      <x:c r="U259" s="22" t="n">
        <x:v>127.4607716</x:v>
      </x:c>
    </x:row>
    <x:row r="260" ht="32" customHeight="1">
      <x:c r="A260" s="18" t="str">
        <x:v>pending</x:v>
      </x:c>
      <x:c r="B260" s="18" t="str">
        <x:v>동구</x:v>
      </x:c>
      <x:c r="C260" s="17" t="str">
        <x:v>곰수산 판암 본점</x:v>
      </x:c>
      <x:c r="D260" s="17" t="str">
        <x:v>한식&gt;생선회</x:v>
      </x:c>
      <x:c r="E260" s="19" t="n">
        <x:v>57</x:v>
      </x:c>
      <x:c r="F260" s="17" t="str">
        <x:v>지역성: 본점; 최근 12개월 블로그 31건</x:v>
      </x:c>
      <x:c r="G260" s="17" t="str">
        <x:v>대전광역시 동구 판암동 351 1층</x:v>
      </x:c>
      <x:c r="H260" s="17" t="str">
        <x:v>대전광역시 동구 판암로 17 1층</x:v>
      </x:c>
      <x:c r="I260" s="18" t="e">
        <x:f>HYPERLINK("https://search.naver.com/search.naver?where=blog&amp;query=%EA%B3%B0%EC%88%98%EC%82%B0+%ED%8C%90%EC%95%94+%EB%B3%B8%EC%A0%90+%EB%8F%99%EA%B5%AC","블로그 보기")</x:f>
        <x:v>HYPERLINK is not implemented. linkLocation=https://search.naver.com/search.naver?where=blog&amp;query=%EA%B3%B0%EC%88%98%EC%82%B0+%ED%8C%90%EC%95%94+%EB%B3%B8%EC%A0%90+%EB%8F%99%EA%B5%AC, friendlyName=블로그 보기</x:v>
      </x:c>
      <x:c r="J260" s="18" t="str"/>
      <x:c r="K260" s="18" t="str"/>
      <x:c r="L260" s="17" t="str"/>
      <x:c r="M260" s="20" t="n">
        <x:v>46201</x:v>
      </x:c>
      <x:c r="N260" s="21" t="n">
        <x:v>31</x:v>
      </x:c>
      <x:c r="O260" s="21" t="n">
        <x:v>42</x:v>
      </x:c>
      <x:c r="P260" s="21" t="n">
        <x:v>69</x:v>
      </x:c>
      <x:c r="Q260" s="21" t="n">
        <x:v>1</x:v>
      </x:c>
      <x:c r="R260" s="21" t="n">
        <x:v>1</x:v>
      </x:c>
      <x:c r="S260" s="17" t="str">
        <x:v>판암동 한식</x:v>
      </x:c>
      <x:c r="T260" s="22" t="n">
        <x:v>36.3180201</x:v>
      </x:c>
      <x:c r="U260" s="22" t="n">
        <x:v>127.4621789</x:v>
      </x:c>
    </x:row>
    <x:row r="261" ht="32" customHeight="1">
      <x:c r="A261" s="18" t="str">
        <x:v>pending</x:v>
      </x:c>
      <x:c r="B261" s="18" t="str">
        <x:v>동구</x:v>
      </x:c>
      <x:c r="C261" s="17" t="str">
        <x:v>김밥사랑</x:v>
      </x:c>
      <x:c r="D261" s="17" t="str">
        <x:v>분식&gt;종합분식</x:v>
      </x:c>
      <x:c r="E261" s="19" t="n">
        <x:v>57</x:v>
      </x:c>
      <x:c r="F261" s="17" t="str">
        <x:v>최근 12개월 블로그 100건</x:v>
      </x:c>
      <x:c r="G261" s="17" t="str">
        <x:v>대전광역시 동구 용운동 304-20</x:v>
      </x:c>
      <x:c r="H261" s="17" t="str">
        <x:v>대전광역시 동구 새울로 102</x:v>
      </x:c>
      <x:c r="I261" s="18" t="e">
        <x:f>HYPERLINK("https://search.naver.com/search.naver?where=blog&amp;query=%EA%B9%80%EB%B0%A5%EC%82%AC%EB%9E%91+%EB%8F%99%EA%B5%AC","블로그 보기")</x:f>
        <x:v>HYPERLINK is not implemented. linkLocation=https://search.naver.com/search.naver?where=blog&amp;query=%EA%B9%80%EB%B0%A5%EC%82%AC%EB%9E%91+%EB%8F%99%EA%B5%AC, friendlyName=블로그 보기</x:v>
      </x:c>
      <x:c r="J261" s="18" t="str"/>
      <x:c r="K261" s="18" t="str"/>
      <x:c r="L261" s="17" t="str"/>
      <x:c r="M261" s="20" t="n">
        <x:v>46223</x:v>
      </x:c>
      <x:c r="N261" s="21" t="n">
        <x:v>100</x:v>
      </x:c>
      <x:c r="O261" s="21" t="n">
        <x:v>92</x:v>
      </x:c>
      <x:c r="P261" s="21" t="n">
        <x:v>9140</x:v>
      </x:c>
      <x:c r="Q261" s="21" t="n">
        <x:v>1</x:v>
      </x:c>
      <x:c r="R261" s="21" t="n">
        <x:v>1</x:v>
      </x:c>
      <x:c r="S261" s="17" t="str">
        <x:v>용운동 분식</x:v>
      </x:c>
      <x:c r="T261" s="22" t="n">
        <x:v>36.3274587</x:v>
      </x:c>
      <x:c r="U261" s="22" t="n">
        <x:v>127.4618439</x:v>
      </x:c>
    </x:row>
    <x:row r="262" ht="32" customHeight="1">
      <x:c r="A262" s="18" t="str">
        <x:v>pending</x:v>
      </x:c>
      <x:c r="B262" s="18" t="str">
        <x:v>동구</x:v>
      </x:c>
      <x:c r="C262" s="17" t="str">
        <x:v>산내음</x:v>
      </x:c>
      <x:c r="D262" s="17" t="str">
        <x:v>한식&gt;백숙,삼계탕</x:v>
      </x:c>
      <x:c r="E262" s="19" t="n">
        <x:v>57</x:v>
      </x:c>
      <x:c r="F262" s="17" t="str">
        <x:v>최근 12개월 블로그 11건</x:v>
      </x:c>
      <x:c r="G262" s="17" t="str">
        <x:v>대전광역시 동구 용운동 436-1</x:v>
      </x:c>
      <x:c r="H262" s="17" t="str">
        <x:v>대전광역시 동구 백룡로 133</x:v>
      </x:c>
      <x:c r="I262" s="18" t="e">
        <x:f>HYPERLINK("https://search.naver.com/search.naver?where=blog&amp;query=%EC%82%B0%EB%82%B4%EC%9D%8C+%EB%8F%99%EA%B5%AC","블로그 보기")</x:f>
        <x:v>HYPERLINK is not implemented. linkLocation=https://search.naver.com/search.naver?where=blog&amp;query=%EC%82%B0%EB%82%B4%EC%9D%8C+%EB%8F%99%EA%B5%AC, friendlyName=블로그 보기</x:v>
      </x:c>
      <x:c r="J262" s="18" t="str"/>
      <x:c r="K262" s="18" t="str"/>
      <x:c r="L262" s="17" t="str"/>
      <x:c r="M262" s="20" t="n">
        <x:v>46198</x:v>
      </x:c>
      <x:c r="N262" s="21" t="n">
        <x:v>11</x:v>
      </x:c>
      <x:c r="O262" s="21" t="n">
        <x:v>96</x:v>
      </x:c>
      <x:c r="P262" s="21" t="n">
        <x:v>182</x:v>
      </x:c>
      <x:c r="Q262" s="21" t="n">
        <x:v>2</x:v>
      </x:c>
      <x:c r="R262" s="21" t="n">
        <x:v>1</x:v>
      </x:c>
      <x:c r="S262" s="17" t="str">
        <x:v>용운동 삼계탕</x:v>
      </x:c>
      <x:c r="T262" s="22" t="n">
        <x:v>36.3289746</x:v>
      </x:c>
      <x:c r="U262" s="22" t="n">
        <x:v>127.4543413</x:v>
      </x:c>
    </x:row>
    <x:row r="263" ht="32" customHeight="1">
      <x:c r="A263" s="18" t="str">
        <x:v>pending</x:v>
      </x:c>
      <x:c r="B263" s="18" t="str">
        <x:v>동구</x:v>
      </x:c>
      <x:c r="C263" s="17" t="str">
        <x:v>시골손칼국수</x:v>
      </x:c>
      <x:c r="D263" s="17" t="str">
        <x:v>한식&gt;칼국수,만두</x:v>
      </x:c>
      <x:c r="E263" s="19" t="n">
        <x:v>57</x:v>
      </x:c>
      <x:c r="F263" s="17" t="str">
        <x:v>지역성: 칼국수; 최근 12개월 블로그 8건</x:v>
      </x:c>
      <x:c r="G263" s="17" t="str">
        <x:v>대전광역시 동구 판암동 239</x:v>
      </x:c>
      <x:c r="H263" s="17" t="str">
        <x:v>대전광역시 동구 동부로 56-7</x:v>
      </x:c>
      <x:c r="I263" s="18" t="e">
        <x:f>HYPERLINK("https://search.naver.com/search.naver?where=blog&amp;query=%EC%8B%9C%EA%B3%A8%EC%86%90%EC%B9%BC%EA%B5%AD%EC%88%98+%EB%8F%99%EA%B5%AC","블로그 보기")</x:f>
        <x:v>HYPERLINK is not implemented. linkLocation=https://search.naver.com/search.naver?where=blog&amp;query=%EC%8B%9C%EA%B3%A8%EC%86%90%EC%B9%BC%EA%B5%AD%EC%88%98+%EB%8F%99%EA%B5%AC, friendlyName=블로그 보기</x:v>
      </x:c>
      <x:c r="J263" s="18" t="str"/>
      <x:c r="K263" s="18" t="str"/>
      <x:c r="L263" s="17" t="str"/>
      <x:c r="M263" s="20" t="n">
        <x:v>46168</x:v>
      </x:c>
      <x:c r="N263" s="21" t="n">
        <x:v>8</x:v>
      </x:c>
      <x:c r="O263" s="21" t="n">
        <x:v>55</x:v>
      </x:c>
      <x:c r="P263" s="21" t="n">
        <x:v>61</x:v>
      </x:c>
      <x:c r="Q263" s="21" t="n">
        <x:v>1</x:v>
      </x:c>
      <x:c r="R263" s="21" t="n">
        <x:v>1</x:v>
      </x:c>
      <x:c r="S263" s="17" t="str">
        <x:v>판암동 칼국수</x:v>
      </x:c>
      <x:c r="T263" s="22" t="n">
        <x:v>36.3220316</x:v>
      </x:c>
      <x:c r="U263" s="22" t="n">
        <x:v>127.4619072</x:v>
      </x:c>
    </x:row>
    <x:row r="264" ht="32" customHeight="1">
      <x:c r="A264" s="18" t="str">
        <x:v>pending</x:v>
      </x:c>
      <x:c r="B264" s="18" t="str">
        <x:v>동구</x:v>
      </x:c>
      <x:c r="C264" s="17" t="str">
        <x:v>갑부본가 돼지갈비</x:v>
      </x:c>
      <x:c r="D264" s="17" t="str">
        <x:v>음식점&gt;한식</x:v>
      </x:c>
      <x:c r="E264" s="19" t="n">
        <x:v>56</x:v>
      </x:c>
      <x:c r="F264" s="17" t="str">
        <x:v>최근 12개월 블로그 100건</x:v>
      </x:c>
      <x:c r="G264" s="17" t="str">
        <x:v>대전광역시 동구 성남동 506-4 1층 갑부본가</x:v>
      </x:c>
      <x:c r="H264" s="17" t="str">
        <x:v>대전광역시 동구 동서대로 1614 1층 갑부본가</x:v>
      </x:c>
      <x:c r="I264" s="18" t="e">
        <x:f>HYPERLINK("https://search.naver.com/search.naver?where=blog&amp;query=%EA%B0%91%EB%B6%80%EB%B3%B8%EA%B0%80+%EB%8F%BC%EC%A7%80%EA%B0%88%EB%B9%84+%EB%8F%99%EA%B5%AC","블로그 보기")</x:f>
        <x:v>HYPERLINK is not implemented. linkLocation=https://search.naver.com/search.naver?where=blog&amp;query=%EA%B0%91%EB%B6%80%EB%B3%B8%EA%B0%80+%EB%8F%BC%EC%A7%80%EA%B0%88%EB%B9%84+%EB%8F%99%EA%B5%AC, friendlyName=블로그 보기</x:v>
      </x:c>
      <x:c r="J264" s="18" t="str"/>
      <x:c r="K264" s="18" t="str"/>
      <x:c r="L264" s="17" t="str"/>
      <x:c r="M264" s="20" t="n">
        <x:v>46223</x:v>
      </x:c>
      <x:c r="N264" s="21" t="n">
        <x:v>100</x:v>
      </x:c>
      <x:c r="O264" s="21" t="n">
        <x:v>78</x:v>
      </x:c>
      <x:c r="P264" s="21" t="n">
        <x:v>2115</x:v>
      </x:c>
      <x:c r="Q264" s="21" t="n">
        <x:v>1</x:v>
      </x:c>
      <x:c r="R264" s="21" t="n">
        <x:v>1</x:v>
      </x:c>
      <x:c r="S264" s="17" t="str">
        <x:v>소제동 냉면</x:v>
      </x:c>
      <x:c r="T264" s="22" t="n">
        <x:v>36.3457546</x:v>
      </x:c>
      <x:c r="U264" s="22" t="n">
        <x:v>127.4304228</x:v>
      </x:c>
    </x:row>
    <x:row r="265" ht="32" customHeight="1">
      <x:c r="A265" s="18" t="str">
        <x:v>pending</x:v>
      </x:c>
      <x:c r="B265" s="18" t="str">
        <x:v>동구</x:v>
      </x:c>
      <x:c r="C265" s="17" t="str">
        <x:v>본 죽&amp;비빔밥 대전용운점</x:v>
      </x:c>
      <x:c r="D265" s="17" t="str">
        <x:v>음식점&gt;죽</x:v>
      </x:c>
      <x:c r="E265" s="19" t="n">
        <x:v>56</x:v>
      </x:c>
      <x:c r="F265" s="17" t="str">
        <x:v>지역성: 대전; 최근 12개월 블로그 63건</x:v>
      </x:c>
      <x:c r="G265" s="17" t="str">
        <x:v>대전광역시 동구 용운동 431-7 본 죽&amp;비빔밥 대전용운점</x:v>
      </x:c>
      <x:c r="H265" s="17" t="str">
        <x:v>대전광역시 동구 계족로140번길 191 본 죽&amp;비빔밥 대전용운점</x:v>
      </x:c>
      <x:c r="I265" s="18" t="e">
        <x:f>HYPERLINK("https://search.naver.com/search.naver?where=blog&amp;query=%EB%B3%B8+%EC%A3%BD%26%EB%B9%84%EB%B9%94%EB%B0%A5+%EB%8C%80%EC%A0%84%EC%9A%A9%EC%9A%B4%EC%A0%90+%EB%8F%99%EA%B5%AC","블로그 보기")</x:f>
        <x:v>HYPERLINK is not implemented. linkLocation=https://search.naver.com/search.naver?where=blog&amp;query=%EB%B3%B8+%EC%A3%BD%26%EB%B9%84%EB%B9%94%EB%B0%A5+%EB%8C%80%EC%A0%84%EC%9A%A9%EC%9A%B4%EC%A0%90+%EB%8F%99%EA%B5%AC, friendlyName=블로그 보기</x:v>
      </x:c>
      <x:c r="J265" s="18" t="e">
        <x:f>HYPERLINK("https://www.bonif.co.kr/menu/list?brdCd=BF102","업체 보기")</x:f>
        <x:v>HYPERLINK is not implemented. linkLocation=https://www.bonif.co.kr/menu/list?brdCd=BF102, friendlyName=업체 보기</x:v>
      </x:c>
      <x:c r="K265" s="18" t="str"/>
      <x:c r="L265" s="17" t="str"/>
      <x:c r="M265" s="20" t="n">
        <x:v>46216</x:v>
      </x:c>
      <x:c r="N265" s="21" t="n">
        <x:v>63</x:v>
      </x:c>
      <x:c r="O265" s="21" t="n">
        <x:v>76</x:v>
      </x:c>
      <x:c r="P265" s="21" t="n">
        <x:v>273</x:v>
      </x:c>
      <x:c r="Q265" s="21" t="n">
        <x:v>1</x:v>
      </x:c>
      <x:c r="R265" s="21" t="n">
        <x:v>0</x:v>
      </x:c>
      <x:c r="S265" s="17" t="str">
        <x:v>용운동 냉면</x:v>
      </x:c>
      <x:c r="T265" s="22" t="n">
        <x:v>36.3281729</x:v>
      </x:c>
      <x:c r="U265" s="22" t="n">
        <x:v>127.4548152</x:v>
      </x:c>
    </x:row>
    <x:row r="266" ht="32" customHeight="1">
      <x:c r="A266" s="18" t="str">
        <x:v>pending</x:v>
      </x:c>
      <x:c r="B266" s="18" t="str">
        <x:v>동구</x:v>
      </x:c>
      <x:c r="C266" s="17" t="str">
        <x:v>본 죽&amp;비빔밥 대전판암점</x:v>
      </x:c>
      <x:c r="D266" s="17" t="str">
        <x:v>음식점&gt;죽</x:v>
      </x:c>
      <x:c r="E266" s="19" t="n">
        <x:v>56</x:v>
      </x:c>
      <x:c r="F266" s="17" t="str">
        <x:v>지역성: 대전; 최근 12개월 블로그 58건</x:v>
      </x:c>
      <x:c r="G266" s="17" t="str">
        <x:v>대전광역시 동구 판암동 323-4 1층</x:v>
      </x:c>
      <x:c r="H266" s="17" t="str">
        <x:v>대전광역시 동구 옥천로 168 1층</x:v>
      </x:c>
      <x:c r="I266" s="18" t="e">
        <x:f>HYPERLINK("https://search.naver.com/search.naver?where=blog&amp;query=%EB%B3%B8+%EC%A3%BD%26%EB%B9%84%EB%B9%94%EB%B0%A5+%EB%8C%80%EC%A0%84%ED%8C%90%EC%95%94%EC%A0%90+%EB%8F%99%EA%B5%AC","블로그 보기")</x:f>
        <x:v>HYPERLINK is not implemented. linkLocation=https://search.naver.com/search.naver?where=blog&amp;query=%EB%B3%B8+%EC%A3%BD%26%EB%B9%84%EB%B9%94%EB%B0%A5+%EB%8C%80%EC%A0%84%ED%8C%90%EC%95%94%EC%A0%90+%EB%8F%99%EA%B5%AC, friendlyName=블로그 보기</x:v>
      </x:c>
      <x:c r="J266" s="18" t="e">
        <x:f>HYPERLINK("https://www.bonif.co.kr/menu/list?brdCd=BF102","업체 보기")</x:f>
        <x:v>HYPERLINK is not implemented. linkLocation=https://www.bonif.co.kr/menu/list?brdCd=BF102, friendlyName=업체 보기</x:v>
      </x:c>
      <x:c r="K266" s="18" t="str"/>
      <x:c r="L266" s="17" t="str"/>
      <x:c r="M266" s="20" t="n">
        <x:v>46193</x:v>
      </x:c>
      <x:c r="N266" s="21" t="n">
        <x:v>58</x:v>
      </x:c>
      <x:c r="O266" s="21" t="n">
        <x:v>72</x:v>
      </x:c>
      <x:c r="P266" s="21" t="n">
        <x:v>282</x:v>
      </x:c>
      <x:c r="Q266" s="21" t="n">
        <x:v>1</x:v>
      </x:c>
      <x:c r="R266" s="21" t="n">
        <x:v>0</x:v>
      </x:c>
      <x:c r="S266" s="17" t="str">
        <x:v>판암동 칼국수</x:v>
      </x:c>
      <x:c r="T266" s="22" t="n">
        <x:v>36.3168216</x:v>
      </x:c>
      <x:c r="U266" s="22" t="n">
        <x:v>127.4590917</x:v>
      </x:c>
    </x:row>
    <x:row r="267" ht="32" customHeight="1">
      <x:c r="A267" s="18" t="str">
        <x:v>pending</x:v>
      </x:c>
      <x:c r="B267" s="18" t="str">
        <x:v>동구</x:v>
      </x:c>
      <x:c r="C267" s="17" t="str">
        <x:v>국밥 참 맛있는 집 대전대동점</x:v>
      </x:c>
      <x:c r="D267" s="17" t="str">
        <x:v>음식점&gt;한식&gt;국밥</x:v>
      </x:c>
      <x:c r="E267" s="19" t="n">
        <x:v>55</x:v>
      </x:c>
      <x:c r="F267" s="17" t="str">
        <x:v>지역성: 대전; 최근 12개월 블로그 33건</x:v>
      </x:c>
      <x:c r="G267" s="17" t="str">
        <x:v>대전광역시 동구 대동 79-17 1층</x:v>
      </x:c>
      <x:c r="H267" s="17" t="str">
        <x:v>대전광역시 동구 동대전로 88-3 1층</x:v>
      </x:c>
      <x:c r="I267" s="18" t="e">
        <x:f>HYPERLINK("https://search.naver.com/search.naver?where=blog&amp;query=%EA%B5%AD%EB%B0%A5+%EC%B0%B8+%EB%A7%9B%EC%9E%88%EB%8A%94+%EC%A7%91+%EB%8C%80%EC%A0%84%EB%8C%80%EB%8F%99%EC%A0%90+%EB%8F%99%EA%B5%AC","블로그 보기")</x:f>
        <x:v>HYPERLINK is not implemented. linkLocation=https://search.naver.com/search.naver?where=blog&amp;query=%EA%B5%AD%EB%B0%A5+%EC%B0%B8+%EB%A7%9B%EC%9E%88%EB%8A%94+%EC%A7%91+%EB%8C%80%EC%A0%84%EB%8C%80%EB%8F%99%EC%A0%90+%EB%8F%99%EA%B5%AC, friendlyName=블로그 보기</x:v>
      </x:c>
      <x:c r="J267" s="18" t="e">
        <x:f>HYPERLINK("https://www.gukcham.com/","업체 보기")</x:f>
        <x:v>HYPERLINK is not implemented. linkLocation=https://www.gukcham.com/, friendlyName=업체 보기</x:v>
      </x:c>
      <x:c r="K267" s="18" t="str"/>
      <x:c r="L267" s="17" t="str"/>
      <x:c r="M267" s="20" t="n">
        <x:v>46209</x:v>
      </x:c>
      <x:c r="N267" s="21" t="n">
        <x:v>33</x:v>
      </x:c>
      <x:c r="O267" s="21" t="n">
        <x:v>88</x:v>
      </x:c>
      <x:c r="P267" s="21" t="n">
        <x:v>118</x:v>
      </x:c>
      <x:c r="Q267" s="21" t="n">
        <x:v>1</x:v>
      </x:c>
      <x:c r="R267" s="21" t="n">
        <x:v>0</x:v>
      </x:c>
      <x:c r="S267" s="17" t="str">
        <x:v>용운동 삼계탕</x:v>
      </x:c>
      <x:c r="T267" s="22" t="n">
        <x:v>36.330341</x:v>
      </x:c>
      <x:c r="U267" s="22" t="n">
        <x:v>127.443721</x:v>
      </x:c>
    </x:row>
    <x:row r="268" ht="32" customHeight="1">
      <x:c r="A268" s="18" t="str">
        <x:v>pending</x:v>
      </x:c>
      <x:c r="B268" s="18" t="str">
        <x:v>동구</x:v>
      </x:c>
      <x:c r="C268" s="17" t="str">
        <x:v>수연분식</x:v>
      </x:c>
      <x:c r="D268" s="17" t="str">
        <x:v>분식&gt;종합분식</x:v>
      </x:c>
      <x:c r="E268" s="19" t="n">
        <x:v>55</x:v>
      </x:c>
      <x:c r="F268" s="17" t="str">
        <x:v>최근 12개월 블로그 100건</x:v>
      </x:c>
      <x:c r="G268" s="17" t="str">
        <x:v>대전광역시 동구 원동 63-76</x:v>
      </x:c>
      <x:c r="H268" s="17" t="str">
        <x:v>대전광역시 동구 대전로785번길 51</x:v>
      </x:c>
      <x:c r="I268" s="18" t="e">
        <x:f>HYPERLINK("https://search.naver.com/search.naver?where=blog&amp;query=%EC%88%98%EC%97%B0%EB%B6%84%EC%8B%9D+%EB%8F%99%EA%B5%AC","블로그 보기")</x:f>
        <x:v>HYPERLINK is not implemented. linkLocation=https://search.naver.com/search.naver?where=blog&amp;query=%EC%88%98%EC%97%B0%EB%B6%84%EC%8B%9D+%EB%8F%99%EA%B5%AC, friendlyName=블로그 보기</x:v>
      </x:c>
      <x:c r="J268" s="18" t="str"/>
      <x:c r="K268" s="18" t="str"/>
      <x:c r="L268" s="17" t="str"/>
      <x:c r="M268" s="20" t="n">
        <x:v>46223</x:v>
      </x:c>
      <x:c r="N268" s="21" t="n">
        <x:v>100</x:v>
      </x:c>
      <x:c r="O268" s="21" t="n">
        <x:v>97</x:v>
      </x:c>
      <x:c r="P268" s="21" t="n">
        <x:v>304</x:v>
      </x:c>
      <x:c r="Q268" s="21" t="n">
        <x:v>2</x:v>
      </x:c>
      <x:c r="R268" s="21" t="n">
        <x:v>0</x:v>
      </x:c>
      <x:c r="S268" s="17" t="str">
        <x:v>대전역 분식 | 소제동 분식</x:v>
      </x:c>
      <x:c r="T268" s="22" t="n">
        <x:v>36.3288012</x:v>
      </x:c>
      <x:c r="U268" s="22" t="n">
        <x:v>127.4308408</x:v>
      </x:c>
    </x:row>
    <x:row r="269" ht="32" customHeight="1">
      <x:c r="A269" s="18" t="str">
        <x:v>pending</x:v>
      </x:c>
      <x:c r="B269" s="18" t="str">
        <x:v>동구</x:v>
      </x:c>
      <x:c r="C269" s="17" t="str">
        <x:v>카레약방</x:v>
      </x:c>
      <x:c r="D269" s="17" t="str">
        <x:v>음식점&gt;일식&gt;카레</x:v>
      </x:c>
      <x:c r="E269" s="19" t="n">
        <x:v>55</x:v>
      </x:c>
      <x:c r="F269" s="17" t="str">
        <x:v>최근 12개월 블로그 100건</x:v>
      </x:c>
      <x:c r="G269" s="17" t="str">
        <x:v>대전광역시 동구 중동 22-15 1층</x:v>
      </x:c>
      <x:c r="H269" s="17" t="str">
        <x:v>대전광역시 동구 중앙로203번길 32 1층</x:v>
      </x:c>
      <x:c r="I269" s="18" t="e">
        <x:f>HYPERLINK("https://search.naver.com/search.naver?where=blog&amp;query=%EC%B9%B4%EB%A0%88%EC%95%BD%EB%B0%A9+%EB%8F%99%EA%B5%AC","블로그 보기")</x:f>
        <x:v>HYPERLINK is not implemented. linkLocation=https://search.naver.com/search.naver?where=blog&amp;query=%EC%B9%B4%EB%A0%88%EC%95%BD%EB%B0%A9+%EB%8F%99%EA%B5%AC, friendlyName=블로그 보기</x:v>
      </x:c>
      <x:c r="J269" s="18" t="e">
        <x:f>HYPERLINK("https://blog.naver.com/curry_yakbang","업체 보기")</x:f>
        <x:v>HYPERLINK is not implemented. linkLocation=https://blog.naver.com/curry_yakbang, friendlyName=업체 보기</x:v>
      </x:c>
      <x:c r="K269" s="18" t="str"/>
      <x:c r="L269" s="17" t="str"/>
      <x:c r="M269" s="20" t="n">
        <x:v>46222</x:v>
      </x:c>
      <x:c r="N269" s="21" t="n">
        <x:v>100</x:v>
      </x:c>
      <x:c r="O269" s="21" t="n">
        <x:v>98</x:v>
      </x:c>
      <x:c r="P269" s="21" t="n">
        <x:v>264</x:v>
      </x:c>
      <x:c r="Q269" s="21" t="n">
        <x:v>2</x:v>
      </x:c>
      <x:c r="R269" s="21" t="n">
        <x:v>0</x:v>
      </x:c>
      <x:c r="S269" s="17" t="str">
        <x:v>대전역 맛집 | 대전역 일식</x:v>
      </x:c>
      <x:c r="T269" s="22" t="n">
        <x:v>36.3321825</x:v>
      </x:c>
      <x:c r="U269" s="22" t="n">
        <x:v>127.4309273</x:v>
      </x:c>
    </x:row>
    <x:row r="270" ht="32" customHeight="1">
      <x:c r="A270" s="18" t="str">
        <x:v>pending</x:v>
      </x:c>
      <x:c r="B270" s="18" t="str">
        <x:v>동구</x:v>
      </x:c>
      <x:c r="C270" s="17" t="str">
        <x:v>판암회관</x:v>
      </x:c>
      <x:c r="D270" s="17" t="str">
        <x:v>음식점&gt;한식</x:v>
      </x:c>
      <x:c r="E270" s="19" t="n">
        <x:v>55</x:v>
      </x:c>
      <x:c r="F270" s="17" t="str">
        <x:v>최근 12개월 블로그 87건</x:v>
      </x:c>
      <x:c r="G270" s="17" t="str">
        <x:v>대전광역시 동구 판암동 465-2</x:v>
      </x:c>
      <x:c r="H270" s="17" t="str">
        <x:v>대전광역시 동구 옥천로 138</x:v>
      </x:c>
      <x:c r="I270" s="18" t="e">
        <x:f>HYPERLINK("https://search.naver.com/search.naver?where=blog&amp;query=%ED%8C%90%EC%95%94%ED%9A%8C%EA%B4%80+%EB%8F%99%EA%B5%AC","블로그 보기")</x:f>
        <x:v>HYPERLINK is not implemented. linkLocation=https://search.naver.com/search.naver?where=blog&amp;query=%ED%8C%90%EC%95%94%ED%9A%8C%EA%B4%80+%EB%8F%99%EA%B5%AC, friendlyName=블로그 보기</x:v>
      </x:c>
      <x:c r="J270" s="18" t="str"/>
      <x:c r="K270" s="18" t="str"/>
      <x:c r="L270" s="17" t="str"/>
      <x:c r="M270" s="20" t="n">
        <x:v>46223</x:v>
      </x:c>
      <x:c r="N270" s="21" t="n">
        <x:v>87</x:v>
      </x:c>
      <x:c r="O270" s="21" t="n">
        <x:v>91</x:v>
      </x:c>
      <x:c r="P270" s="21" t="n">
        <x:v>790</x:v>
      </x:c>
      <x:c r="Q270" s="21" t="n">
        <x:v>1</x:v>
      </x:c>
      <x:c r="R270" s="21" t="n">
        <x:v>1</x:v>
      </x:c>
      <x:c r="S270" s="17" t="str">
        <x:v>판암동 칼국수</x:v>
      </x:c>
      <x:c r="T270" s="22" t="n">
        <x:v>36.3166644</x:v>
      </x:c>
      <x:c r="U270" s="22" t="n">
        <x:v>127.4556326</x:v>
      </x:c>
    </x:row>
    <x:row r="271" ht="32" customHeight="1">
      <x:c r="A271" s="18" t="str">
        <x:v>pending</x:v>
      </x:c>
      <x:c r="B271" s="18" t="str">
        <x:v>동구</x:v>
      </x:c>
      <x:c r="C271" s="17" t="str">
        <x:v>독도해물알찜 대전용운점</x:v>
      </x:c>
      <x:c r="D271" s="17" t="str">
        <x:v>한식&gt;아귀찜,해물찜</x:v>
      </x:c>
      <x:c r="E271" s="19" t="n">
        <x:v>54</x:v>
      </x:c>
      <x:c r="F271" s="17" t="str">
        <x:v>지역성: 대전; 최근 12개월 블로그 17건</x:v>
      </x:c>
      <x:c r="G271" s="17" t="str">
        <x:v>대전광역시 동구 용운동 352-7</x:v>
      </x:c>
      <x:c r="H271" s="17" t="str">
        <x:v>대전광역시 동구 새울로91번길 2</x:v>
      </x:c>
      <x:c r="I271" s="18" t="e">
        <x:f>HYPERLINK("https://search.naver.com/search.naver?where=blog&amp;query=%EB%8F%85%EB%8F%84%ED%95%B4%EB%AC%BC%EC%95%8C%EC%B0%9C+%EB%8C%80%EC%A0%84%EC%9A%A9%EC%9A%B4%EC%A0%90+%EB%8F%99%EA%B5%AC","블로그 보기")</x:f>
        <x:v>HYPERLINK is not implemented. linkLocation=https://search.naver.com/search.naver?where=blog&amp;query=%EB%8F%85%EB%8F%84%ED%95%B4%EB%AC%BC%EC%95%8C%EC%B0%9C+%EB%8C%80%EC%A0%84%EC%9A%A9%EC%9A%B4%EC%A0%90+%EB%8F%99%EA%B5%AC, friendlyName=블로그 보기</x:v>
      </x:c>
      <x:c r="J271" s="18" t="str"/>
      <x:c r="K271" s="18" t="str"/>
      <x:c r="L271" s="17" t="str"/>
      <x:c r="M271" s="20" t="n">
        <x:v>46111</x:v>
      </x:c>
      <x:c r="N271" s="21" t="n">
        <x:v>17</x:v>
      </x:c>
      <x:c r="O271" s="21" t="n">
        <x:v>54</x:v>
      </x:c>
      <x:c r="P271" s="21" t="n">
        <x:v>59</x:v>
      </x:c>
      <x:c r="Q271" s="21" t="n">
        <x:v>1</x:v>
      </x:c>
      <x:c r="R271" s="21" t="n">
        <x:v>0</x:v>
      </x:c>
      <x:c r="S271" s="17" t="str">
        <x:v>용운동 해산물</x:v>
      </x:c>
      <x:c r="T271" s="22" t="n">
        <x:v>36.3265484</x:v>
      </x:c>
      <x:c r="U271" s="22" t="n">
        <x:v>127.461524</x:v>
      </x:c>
    </x:row>
    <x:row r="272" ht="32" customHeight="1">
      <x:c r="A272" s="18" t="str">
        <x:v>pending</x:v>
      </x:c>
      <x:c r="B272" s="18" t="str">
        <x:v>동구</x:v>
      </x:c>
      <x:c r="C272" s="17" t="str">
        <x:v>동해아구찜탕</x:v>
      </x:c>
      <x:c r="D272" s="17" t="str">
        <x:v>한식&gt;아귀찜,해물찜</x:v>
      </x:c>
      <x:c r="E272" s="19" t="n">
        <x:v>54</x:v>
      </x:c>
      <x:c r="F272" s="17" t="str">
        <x:v>최근 12개월 블로그 100건</x:v>
      </x:c>
      <x:c r="G272" s="17" t="str">
        <x:v>대전광역시 동구 중동 25-2</x:v>
      </x:c>
      <x:c r="H272" s="17" t="str">
        <x:v>대전광역시 동구 대전로813번길 45</x:v>
      </x:c>
      <x:c r="I272" s="18" t="e">
        <x:f>HYPERLINK("https://search.naver.com/search.naver?where=blog&amp;query=%EB%8F%99%ED%95%B4%EC%95%84%EA%B5%AC%EC%B0%9C%ED%83%95+%EB%8F%99%EA%B5%AC","블로그 보기")</x:f>
        <x:v>HYPERLINK is not implemented. linkLocation=https://search.naver.com/search.naver?where=blog&amp;query=%EB%8F%99%ED%95%B4%EC%95%84%EA%B5%AC%EC%B0%9C%ED%83%95+%EB%8F%99%EA%B5%AC, friendlyName=블로그 보기</x:v>
      </x:c>
      <x:c r="J272" s="18" t="str"/>
      <x:c r="K272" s="18" t="str"/>
      <x:c r="L272" s="17" t="str"/>
      <x:c r="M272" s="20" t="n">
        <x:v>46223</x:v>
      </x:c>
      <x:c r="N272" s="21" t="n">
        <x:v>100</x:v>
      </x:c>
      <x:c r="O272" s="21" t="n">
        <x:v>99</x:v>
      </x:c>
      <x:c r="P272" s="21" t="n">
        <x:v>4615</x:v>
      </x:c>
      <x:c r="Q272" s="21" t="n">
        <x:v>1</x:v>
      </x:c>
      <x:c r="R272" s="21" t="n">
        <x:v>0</x:v>
      </x:c>
      <x:c r="S272" s="17" t="str">
        <x:v>대전역 해산물</x:v>
      </x:c>
      <x:c r="T272" s="22" t="n">
        <x:v>36.3311265</x:v>
      </x:c>
      <x:c r="U272" s="22" t="n">
        <x:v>127.4298094</x:v>
      </x:c>
    </x:row>
    <x:row r="273" ht="32" customHeight="1">
      <x:c r="A273" s="18" t="str">
        <x:v>pending</x:v>
      </x:c>
      <x:c r="B273" s="18" t="str">
        <x:v>동구</x:v>
      </x:c>
      <x:c r="C273" s="17" t="str">
        <x:v>미소야 대전역점</x:v>
      </x:c>
      <x:c r="D273" s="17" t="str">
        <x:v>음식점&gt;일식&gt;돈가스</x:v>
      </x:c>
      <x:c r="E273" s="19" t="n">
        <x:v>54</x:v>
      </x:c>
      <x:c r="F273" s="17" t="str">
        <x:v>지역성: 대전; 최근 12개월 블로그 32건</x:v>
      </x:c>
      <x:c r="G273" s="17" t="str">
        <x:v>대전광역시 동구 정동 26-7</x:v>
      </x:c>
      <x:c r="H273" s="17" t="str">
        <x:v>대전광역시 동구 대전로 811-1</x:v>
      </x:c>
      <x:c r="I273" s="18" t="e">
        <x:f>HYPERLINK("https://search.naver.com/search.naver?where=blog&amp;query=%EB%AF%B8%EC%86%8C%EC%95%BC+%EB%8C%80%EC%A0%84%EC%97%AD%EC%A0%90+%EB%8F%99%EA%B5%AC","블로그 보기")</x:f>
        <x:v>HYPERLINK is not implemented. linkLocation=https://search.naver.com/search.naver?where=blog&amp;query=%EB%AF%B8%EC%86%8C%EC%95%BC+%EB%8C%80%EC%A0%84%EC%97%AD%EC%A0%90+%EB%8F%99%EA%B5%AC, friendlyName=블로그 보기</x:v>
      </x:c>
      <x:c r="J273" s="18" t="e">
        <x:f>HYPERLINK("https://blog.naver.com/misoya-official","업체 보기")</x:f>
        <x:v>HYPERLINK is not implemented. linkLocation=https://blog.naver.com/misoya-official, friendlyName=업체 보기</x:v>
      </x:c>
      <x:c r="K273" s="18" t="str"/>
      <x:c r="L273" s="17" t="str"/>
      <x:c r="M273" s="20" t="n">
        <x:v>46220</x:v>
      </x:c>
      <x:c r="N273" s="21" t="n">
        <x:v>32</x:v>
      </x:c>
      <x:c r="O273" s="21" t="n">
        <x:v>16</x:v>
      </x:c>
      <x:c r="P273" s="21" t="n">
        <x:v>51</x:v>
      </x:c>
      <x:c r="Q273" s="21" t="n">
        <x:v>1</x:v>
      </x:c>
      <x:c r="R273" s="21" t="n">
        <x:v>0</x:v>
      </x:c>
      <x:c r="S273" s="17" t="str">
        <x:v>대전역 일식</x:v>
      </x:c>
      <x:c r="T273" s="22" t="n">
        <x:v>36.3319086</x:v>
      </x:c>
      <x:c r="U273" s="22" t="n">
        <x:v>127.4320884</x:v>
      </x:c>
    </x:row>
    <x:row r="274" ht="32" customHeight="1">
      <x:c r="A274" s="18" t="str">
        <x:v>pending</x:v>
      </x:c>
      <x:c r="B274" s="18" t="str">
        <x:v>동구</x:v>
      </x:c>
      <x:c r="C274" s="17" t="str">
        <x:v>용운축산물도매센타</x:v>
      </x:c>
      <x:c r="D274" s="17" t="str">
        <x:v>쇼핑,유통&gt;정육점</x:v>
      </x:c>
      <x:c r="E274" s="19" t="n">
        <x:v>54</x:v>
      </x:c>
      <x:c r="F274" s="17" t="str">
        <x:v>최근 12개월 블로그 55건</x:v>
      </x:c>
      <x:c r="G274" s="17" t="str">
        <x:v>대전광역시 동구 용운동 305-10 1층 용운축산물도매센타</x:v>
      </x:c>
      <x:c r="H274" s="17" t="str">
        <x:v>대전광역시 동구 새울로 103 1층 용운축산물도매센타</x:v>
      </x:c>
      <x:c r="I274" s="18" t="e">
        <x:f>HYPERLINK("https://search.naver.com/search.naver?where=blog&amp;query=%EC%9A%A9%EC%9A%B4%EC%B6%95%EC%82%B0%EB%AC%BC%EB%8F%84%EB%A7%A4%EC%84%BC%ED%83%80+%EB%8F%99%EA%B5%AC","블로그 보기")</x:f>
        <x:v>HYPERLINK is not implemented. linkLocation=https://search.naver.com/search.naver?where=blog&amp;query=%EC%9A%A9%EC%9A%B4%EC%B6%95%EC%82%B0%EB%AC%BC%EB%8F%84%EB%A7%A4%EC%84%BC%ED%83%80+%EB%8F%99%EA%B5%AC, friendlyName=블로그 보기</x:v>
      </x:c>
      <x:c r="J274" s="18" t="e">
        <x:f>HYPERLINK("https://smartstore.naver.com/dj-yongwoon","업체 보기")</x:f>
        <x:v>HYPERLINK is not implemented. linkLocation=https://smartstore.naver.com/dj-yongwoon, friendlyName=업체 보기</x:v>
      </x:c>
      <x:c r="K274" s="18" t="str"/>
      <x:c r="L274" s="17" t="str"/>
      <x:c r="M274" s="20" t="n">
        <x:v>46213</x:v>
      </x:c>
      <x:c r="N274" s="21" t="n">
        <x:v>55</x:v>
      </x:c>
      <x:c r="O274" s="21" t="n">
        <x:v>52</x:v>
      </x:c>
      <x:c r="P274" s="21" t="n">
        <x:v>300</x:v>
      </x:c>
      <x:c r="Q274" s="21" t="n">
        <x:v>1</x:v>
      </x:c>
      <x:c r="R274" s="21" t="n">
        <x:v>1</x:v>
      </x:c>
      <x:c r="S274" s="17" t="str">
        <x:v>용운동 고기</x:v>
      </x:c>
      <x:c r="T274" s="22" t="n">
        <x:v>36.3274862</x:v>
      </x:c>
      <x:c r="U274" s="22" t="n">
        <x:v>127.4616002</x:v>
      </x:c>
    </x:row>
    <x:row r="275" ht="32" customHeight="1">
      <x:c r="A275" s="18" t="str">
        <x:v>pending</x:v>
      </x:c>
      <x:c r="B275" s="18" t="str">
        <x:v>동구</x:v>
      </x:c>
      <x:c r="C275" s="17" t="str">
        <x:v>생일집</x:v>
      </x:c>
      <x:c r="D275" s="17" t="str">
        <x:v>한식&gt;순대,순댓국</x:v>
      </x:c>
      <x:c r="E275" s="19" t="n">
        <x:v>53</x:v>
      </x:c>
      <x:c r="F275" s="17" t="str">
        <x:v>최근 12개월 블로그 12건</x:v>
      </x:c>
      <x:c r="G275" s="17" t="str">
        <x:v>대전광역시 동구 중동 82-11</x:v>
      </x:c>
      <x:c r="H275" s="17" t="str"/>
      <x:c r="I275" s="18" t="e">
        <x:f>HYPERLINK("https://search.naver.com/search.naver?where=blog&amp;query=%EC%83%9D%EC%9D%BC%EC%A7%91+%EC%A4%91%EB%8F%99","블로그 보기")</x:f>
        <x:v>HYPERLINK is not implemented. linkLocation=https://search.naver.com/search.naver?where=blog&amp;query=%EC%83%9D%EC%9D%BC%EC%A7%91+%EC%A4%91%EB%8F%99, friendlyName=블로그 보기</x:v>
      </x:c>
      <x:c r="J275" s="18" t="e">
        <x:f>HYPERLINK("http://www.생일집.com/","업체 보기")</x:f>
        <x:v>HYPERLINK is not implemented. linkLocation=http://www.생일집.com/, friendlyName=업체 보기</x:v>
      </x:c>
      <x:c r="K275" s="18" t="str"/>
      <x:c r="L275" s="17" t="str"/>
      <x:c r="M275" s="20" t="n">
        <x:v>46168</x:v>
      </x:c>
      <x:c r="N275" s="21" t="n">
        <x:v>12</x:v>
      </x:c>
      <x:c r="O275" s="21" t="n">
        <x:v>55</x:v>
      </x:c>
      <x:c r="P275" s="21" t="n">
        <x:v>62</x:v>
      </x:c>
      <x:c r="Q275" s="21" t="n">
        <x:v>2</x:v>
      </x:c>
      <x:c r="R275" s="21" t="n">
        <x:v>0</x:v>
      </x:c>
      <x:c r="S275" s="17" t="str">
        <x:v>대전역 국밥 | 소제동 국밥</x:v>
      </x:c>
      <x:c r="T275" s="22" t="n">
        <x:v>36.3292671</x:v>
      </x:c>
      <x:c r="U275" s="22" t="n">
        <x:v>127.430844</x:v>
      </x:c>
    </x:row>
    <x:row r="276" ht="32" customHeight="1">
      <x:c r="A276" s="18" t="str">
        <x:v>pending</x:v>
      </x:c>
      <x:c r="B276" s="18" t="str">
        <x:v>동구</x:v>
      </x:c>
      <x:c r="C276" s="17" t="str">
        <x:v>석정뼈대가</x:v>
      </x:c>
      <x:c r="D276" s="17" t="str">
        <x:v>한식&gt;육류,고기요리</x:v>
      </x:c>
      <x:c r="E276" s="19" t="n">
        <x:v>53</x:v>
      </x:c>
      <x:c r="F276" s="17" t="str">
        <x:v>최근 12개월 블로그 3건</x:v>
      </x:c>
      <x:c r="G276" s="17" t="str">
        <x:v>대전광역시 동구 소제동 299-121</x:v>
      </x:c>
      <x:c r="H276" s="17" t="str">
        <x:v>대전광역시 동구 계족로 257-5</x:v>
      </x:c>
      <x:c r="I276" s="18" t="e">
        <x:f>HYPERLINK("https://search.naver.com/search.naver?where=blog&amp;query=%EC%84%9D%EC%A0%95%EB%BC%88%EB%8C%80%EA%B0%80+%EB%8F%99%EA%B5%AC","블로그 보기")</x:f>
        <x:v>HYPERLINK is not implemented. linkLocation=https://search.naver.com/search.naver?where=blog&amp;query=%EC%84%9D%EC%A0%95%EB%BC%88%EB%8C%80%EA%B0%80+%EB%8F%99%EA%B5%AC, friendlyName=블로그 보기</x:v>
      </x:c>
      <x:c r="J276" s="18" t="str"/>
      <x:c r="K276" s="18" t="str"/>
      <x:c r="L276" s="17" t="str"/>
      <x:c r="M276" s="20" t="n">
        <x:v>46198</x:v>
      </x:c>
      <x:c r="N276" s="21" t="n">
        <x:v>3</x:v>
      </x:c>
      <x:c r="O276" s="21" t="n">
        <x:v>22</x:v>
      </x:c>
      <x:c r="P276" s="21" t="n">
        <x:v>31</x:v>
      </x:c>
      <x:c r="Q276" s="21" t="n">
        <x:v>3</x:v>
      </x:c>
      <x:c r="R276" s="21" t="n">
        <x:v>2</x:v>
      </x:c>
      <x:c r="S276" s="17" t="str">
        <x:v>소제동 고기 | 소제동 한식</x:v>
      </x:c>
      <x:c r="T276" s="22" t="n">
        <x:v>36.3358711</x:v>
      </x:c>
      <x:c r="U276" s="22" t="n">
        <x:v>127.4388217</x:v>
      </x:c>
    </x:row>
    <x:row r="277" ht="32" customHeight="1">
      <x:c r="A277" s="18" t="str">
        <x:v>pending</x:v>
      </x:c>
      <x:c r="B277" s="18" t="str">
        <x:v>동구</x:v>
      </x:c>
      <x:c r="C277" s="17" t="str">
        <x:v>우리수산</x:v>
      </x:c>
      <x:c r="D277" s="17" t="str">
        <x:v>쇼핑,유통&gt;수산물</x:v>
      </x:c>
      <x:c r="E277" s="19" t="n">
        <x:v>53</x:v>
      </x:c>
      <x:c r="F277" s="17" t="str">
        <x:v>최근 12개월 블로그 12건</x:v>
      </x:c>
      <x:c r="G277" s="17" t="str">
        <x:v>대전광역시 동구 용운동 305-10 우리수산</x:v>
      </x:c>
      <x:c r="H277" s="17" t="str">
        <x:v>대전광역시 동구 새울로 103 우리수산</x:v>
      </x:c>
      <x:c r="I277" s="18" t="e">
        <x:f>HYPERLINK("https://search.naver.com/search.naver?where=blog&amp;query=%EC%9A%B0%EB%A6%AC%EC%88%98%EC%82%B0+%EB%8F%99%EA%B5%AC","블로그 보기")</x:f>
        <x:v>HYPERLINK is not implemented. linkLocation=https://search.naver.com/search.naver?where=blog&amp;query=%EC%9A%B0%EB%A6%AC%EC%88%98%EC%82%B0+%EB%8F%99%EA%B5%AC, friendlyName=블로그 보기</x:v>
      </x:c>
      <x:c r="J277" s="18" t="str"/>
      <x:c r="K277" s="18" t="str"/>
      <x:c r="L277" s="17" t="str"/>
      <x:c r="M277" s="20" t="n">
        <x:v>46219</x:v>
      </x:c>
      <x:c r="N277" s="21" t="n">
        <x:v>12</x:v>
      </x:c>
      <x:c r="O277" s="21" t="n">
        <x:v>91</x:v>
      </x:c>
      <x:c r="P277" s="21" t="n">
        <x:v>118</x:v>
      </x:c>
      <x:c r="Q277" s="21" t="n">
        <x:v>1</x:v>
      </x:c>
      <x:c r="R277" s="21" t="n">
        <x:v>1</x:v>
      </x:c>
      <x:c r="S277" s="17" t="str">
        <x:v>용운동 해산물</x:v>
      </x:c>
      <x:c r="T277" s="22" t="n">
        <x:v>36.3275109</x:v>
      </x:c>
      <x:c r="U277" s="22" t="n">
        <x:v>127.4614474</x:v>
      </x:c>
    </x:row>
    <x:row r="278" ht="32" customHeight="1">
      <x:c r="A278" s="18" t="str">
        <x:v>pending</x:v>
      </x:c>
      <x:c r="B278" s="18" t="str">
        <x:v>동구</x:v>
      </x:c>
      <x:c r="C278" s="17" t="str">
        <x:v>위대한조개전골</x:v>
      </x:c>
      <x:c r="D278" s="17" t="str">
        <x:v>한식&gt;조개요리</x:v>
      </x:c>
      <x:c r="E278" s="19" t="n">
        <x:v>53</x:v>
      </x:c>
      <x:c r="F278" s="17" t="str">
        <x:v>최근 12개월 블로그 27건</x:v>
      </x:c>
      <x:c r="G278" s="17" t="str">
        <x:v>대전광역시 동구 용운동 660-1 1층 위대한조개전골</x:v>
      </x:c>
      <x:c r="H278" s="17" t="str">
        <x:v>대전광역시 동구 대학로 38 1층 위대한조개전골</x:v>
      </x:c>
      <x:c r="I278" s="18" t="e">
        <x:f>HYPERLINK("https://search.naver.com/search.naver?where=blog&amp;query=%EC%9C%84%EB%8C%80%ED%95%9C%EC%A1%B0%EA%B0%9C%EC%A0%84%EA%B3%A8+%EB%8F%99%EA%B5%AC","블로그 보기")</x:f>
        <x:v>HYPERLINK is not implemented. linkLocation=https://search.naver.com/search.naver?where=blog&amp;query=%EC%9C%84%EB%8C%80%ED%95%9C%EC%A1%B0%EA%B0%9C%EC%A0%84%EA%B3%A8+%EB%8F%99%EA%B5%AC, friendlyName=블로그 보기</x:v>
      </x:c>
      <x:c r="J278" s="18" t="e">
        <x:f>HYPERLINK("https://www.instagram.com/yang1212o","업체 보기")</x:f>
        <x:v>HYPERLINK is not implemented. linkLocation=https://www.instagram.com/yang1212o, friendlyName=업체 보기</x:v>
      </x:c>
      <x:c r="K278" s="18" t="str"/>
      <x:c r="L278" s="17" t="str"/>
      <x:c r="M278" s="20" t="n">
        <x:v>46222</x:v>
      </x:c>
      <x:c r="N278" s="21" t="n">
        <x:v>27</x:v>
      </x:c>
      <x:c r="O278" s="21" t="n">
        <x:v>47</x:v>
      </x:c>
      <x:c r="P278" s="21" t="n">
        <x:v>54</x:v>
      </x:c>
      <x:c r="Q278" s="21" t="n">
        <x:v>2</x:v>
      </x:c>
      <x:c r="R278" s="21" t="n">
        <x:v>0</x:v>
      </x:c>
      <x:c r="S278" s="17" t="str">
        <x:v>용운동 칼국수 | 용운동 해산물</x:v>
      </x:c>
      <x:c r="T278" s="22" t="n">
        <x:v>36.3331651</x:v>
      </x:c>
      <x:c r="U278" s="22" t="n">
        <x:v>127.4556288</x:v>
      </x:c>
    </x:row>
    <x:row r="279" ht="32" customHeight="1">
      <x:c r="A279" s="18" t="str">
        <x:v>pending</x:v>
      </x:c>
      <x:c r="B279" s="18" t="str">
        <x:v>동구</x:v>
      </x:c>
      <x:c r="C279" s="17" t="str">
        <x:v>토우</x:v>
      </x:c>
      <x:c r="D279" s="17" t="str">
        <x:v>한식&gt;소고기구이</x:v>
      </x:c>
      <x:c r="E279" s="19" t="n">
        <x:v>53</x:v>
      </x:c>
      <x:c r="F279" s="17" t="str">
        <x:v>최근 12개월 블로그 100건</x:v>
      </x:c>
      <x:c r="G279" s="17" t="str">
        <x:v>대전광역시 동구 원동 48-1</x:v>
      </x:c>
      <x:c r="H279" s="17" t="str">
        <x:v>대전광역시 동구 대전로 771</x:v>
      </x:c>
      <x:c r="I279" s="18" t="e">
        <x:f>HYPERLINK("https://search.naver.com/search.naver?where=blog&amp;query=%ED%86%A0%EC%9A%B0+%EB%8F%99%EA%B5%AC","블로그 보기")</x:f>
        <x:v>HYPERLINK is not implemented. linkLocation=https://search.naver.com/search.naver?where=blog&amp;query=%ED%86%A0%EC%9A%B0+%EB%8F%99%EA%B5%AC, friendlyName=블로그 보기</x:v>
      </x:c>
      <x:c r="J279" s="18" t="str"/>
      <x:c r="K279" s="18" t="str"/>
      <x:c r="L279" s="17" t="str"/>
      <x:c r="M279" s="20" t="n">
        <x:v>46223</x:v>
      </x:c>
      <x:c r="N279" s="21" t="n">
        <x:v>100</x:v>
      </x:c>
      <x:c r="O279" s="21" t="n">
        <x:v>81</x:v>
      </x:c>
      <x:c r="P279" s="21" t="n">
        <x:v>1625</x:v>
      </x:c>
      <x:c r="Q279" s="21" t="n">
        <x:v>1</x:v>
      </x:c>
      <x:c r="R279" s="21" t="n">
        <x:v>0</x:v>
      </x:c>
      <x:c r="S279" s="17" t="str">
        <x:v>대전역 냉면</x:v>
      </x:c>
      <x:c r="T279" s="22" t="n">
        <x:v>36.3286583</x:v>
      </x:c>
      <x:c r="U279" s="22" t="n">
        <x:v>127.433639</x:v>
      </x:c>
    </x:row>
    <x:row r="280" ht="32" customHeight="1">
      <x:c r="A280" s="18" t="str">
        <x:v>pending</x:v>
      </x:c>
      <x:c r="B280" s="18" t="str">
        <x:v>동구</x:v>
      </x:c>
      <x:c r="C280" s="17" t="str">
        <x:v>송림식당</x:v>
      </x:c>
      <x:c r="D280" s="17" t="str">
        <x:v>한식&gt;육류,고기요리</x:v>
      </x:c>
      <x:c r="E280" s="19" t="n">
        <x:v>52</x:v>
      </x:c>
      <x:c r="F280" s="17" t="str">
        <x:v>최근 12개월 블로그 100건</x:v>
      </x:c>
      <x:c r="G280" s="17" t="str">
        <x:v>대전광역시 동구 원동 41-6 2층 송림식당</x:v>
      </x:c>
      <x:c r="H280" s="17" t="str">
        <x:v>대전광역시 동구 대전로 767-9 2층 송림식당</x:v>
      </x:c>
      <x:c r="I280" s="18" t="e">
        <x:f>HYPERLINK("https://search.naver.com/search.naver?where=blog&amp;query=%EC%86%A1%EB%A6%BC%EC%8B%9D%EB%8B%B9+%EB%8F%99%EA%B5%AC","블로그 보기")</x:f>
        <x:v>HYPERLINK is not implemented. linkLocation=https://search.naver.com/search.naver?where=blog&amp;query=%EC%86%A1%EB%A6%BC%EC%8B%9D%EB%8B%B9+%EB%8F%99%EA%B5%AC, friendlyName=블로그 보기</x:v>
      </x:c>
      <x:c r="J280" s="18" t="e">
        <x:f>HYPERLINK("http://instagram.com/_lim_jae_hyoung","업체 보기")</x:f>
        <x:v>HYPERLINK is not implemented. linkLocation=http://instagram.com/_lim_jae_hyoung, friendlyName=업체 보기</x:v>
      </x:c>
      <x:c r="K280" s="18" t="str"/>
      <x:c r="L280" s="17" t="str"/>
      <x:c r="M280" s="20" t="n">
        <x:v>46222</x:v>
      </x:c>
      <x:c r="N280" s="21" t="n">
        <x:v>100</x:v>
      </x:c>
      <x:c r="O280" s="21" t="n">
        <x:v>98</x:v>
      </x:c>
      <x:c r="P280" s="21" t="n">
        <x:v>630</x:v>
      </x:c>
      <x:c r="Q280" s="21" t="n">
        <x:v>1</x:v>
      </x:c>
      <x:c r="R280" s="21" t="n">
        <x:v>0</x:v>
      </x:c>
      <x:c r="S280" s="17" t="str">
        <x:v>대전역 노포</x:v>
      </x:c>
      <x:c r="T280" s="22" t="n">
        <x:v>36.3280338</x:v>
      </x:c>
      <x:c r="U280" s="22" t="n">
        <x:v>127.4336308</x:v>
      </x:c>
    </x:row>
    <x:row r="281" ht="32" customHeight="1">
      <x:c r="A281" s="18" t="str">
        <x:v>pending</x:v>
      </x:c>
      <x:c r="B281" s="18" t="str">
        <x:v>동구</x:v>
      </x:c>
      <x:c r="C281" s="17" t="str">
        <x:v>스모크힐</x:v>
      </x:c>
      <x:c r="D281" s="17" t="str">
        <x:v>한식&gt;육류,고기요리</x:v>
      </x:c>
      <x:c r="E281" s="19" t="n">
        <x:v>52</x:v>
      </x:c>
      <x:c r="F281" s="17" t="str">
        <x:v>최근 12개월 블로그 18건</x:v>
      </x:c>
      <x:c r="G281" s="17" t="str">
        <x:v>대전광역시 동구 판암동 1-22 스모크힐</x:v>
      </x:c>
      <x:c r="H281" s="17" t="str">
        <x:v>대전광역시 동구 옥천로 265 스모크힐</x:v>
      </x:c>
      <x:c r="I281" s="18" t="e">
        <x:f>HYPERLINK("https://search.naver.com/search.naver?where=blog&amp;query=%EC%8A%A4%EB%AA%A8%ED%81%AC%ED%9E%90+%EB%8F%99%EA%B5%AC","블로그 보기")</x:f>
        <x:v>HYPERLINK is not implemented. linkLocation=https://search.naver.com/search.naver?where=blog&amp;query=%EC%8A%A4%EB%AA%A8%ED%81%AC%ED%9E%90+%EB%8F%99%EA%B5%AC, friendlyName=블로그 보기</x:v>
      </x:c>
      <x:c r="J281" s="18" t="e">
        <x:f>HYPERLINK("https://smokehill.co.kr","업체 보기")</x:f>
        <x:v>HYPERLINK is not implemented. linkLocation=https://smokehill.co.kr, friendlyName=업체 보기</x:v>
      </x:c>
      <x:c r="K281" s="18" t="str"/>
      <x:c r="L281" s="17" t="str"/>
      <x:c r="M281" s="20" t="n">
        <x:v>46220</x:v>
      </x:c>
      <x:c r="N281" s="21" t="n">
        <x:v>18</x:v>
      </x:c>
      <x:c r="O281" s="21" t="n">
        <x:v>29</x:v>
      </x:c>
      <x:c r="P281" s="21" t="n">
        <x:v>29</x:v>
      </x:c>
      <x:c r="Q281" s="21" t="n">
        <x:v>2</x:v>
      </x:c>
      <x:c r="R281" s="21" t="n">
        <x:v>0</x:v>
      </x:c>
      <x:c r="S281" s="17" t="str">
        <x:v>판암동 맛집 | 판암동 한식</x:v>
      </x:c>
      <x:c r="T281" s="22" t="n">
        <x:v>36.3193099</x:v>
      </x:c>
      <x:c r="U281" s="22" t="n">
        <x:v>127.4690874</x:v>
      </x:c>
    </x:row>
    <x:row r="282" ht="32" customHeight="1">
      <x:c r="A282" s="18" t="str">
        <x:v>pending</x:v>
      </x:c>
      <x:c r="B282" s="18" t="str">
        <x:v>동구</x:v>
      </x:c>
      <x:c r="C282" s="17" t="str">
        <x:v>역전뜨끈이뼈구이</x:v>
      </x:c>
      <x:c r="D282" s="17" t="str">
        <x:v>한식&gt;감자탕</x:v>
      </x:c>
      <x:c r="E282" s="19" t="n">
        <x:v>52</x:v>
      </x:c>
      <x:c r="F282" s="17" t="str">
        <x:v>최근 12개월 블로그 100건</x:v>
      </x:c>
      <x:c r="G282" s="17" t="str">
        <x:v>대전광역시 동구 정동 14-14 1층</x:v>
      </x:c>
      <x:c r="H282" s="17" t="str">
        <x:v>대전광역시 동구 대전로 825 1층</x:v>
      </x:c>
      <x:c r="I282" s="18" t="e">
        <x:f>HYPERLINK("https://search.naver.com/search.naver?where=blog&amp;query=%EC%97%AD%EC%A0%84%EB%9C%A8%EB%81%88%EC%9D%B4%EB%BC%88%EA%B5%AC%EC%9D%B4+%EB%8F%99%EA%B5%AC","블로그 보기")</x:f>
        <x:v>HYPERLINK is not implemented. linkLocation=https://search.naver.com/search.naver?where=blog&amp;query=%EC%97%AD%EC%A0%84%EB%9C%A8%EB%81%88%EC%9D%B4%EB%BC%88%EA%B5%AC%EC%9D%B4+%EB%8F%99%EA%B5%AC, friendlyName=블로그 보기</x:v>
      </x:c>
      <x:c r="J282" s="18" t="str"/>
      <x:c r="K282" s="18" t="str"/>
      <x:c r="L282" s="17" t="str"/>
      <x:c r="M282" s="20" t="n">
        <x:v>46223</x:v>
      </x:c>
      <x:c r="N282" s="21" t="n">
        <x:v>100</x:v>
      </x:c>
      <x:c r="O282" s="21" t="n">
        <x:v>88</x:v>
      </x:c>
      <x:c r="P282" s="21" t="n">
        <x:v>697</x:v>
      </x:c>
      <x:c r="Q282" s="21" t="n">
        <x:v>1</x:v>
      </x:c>
      <x:c r="R282" s="21" t="n">
        <x:v>0</x:v>
      </x:c>
      <x:c r="S282" s="17" t="str">
        <x:v>대전역 한식</x:v>
      </x:c>
      <x:c r="T282" s="22" t="n">
        <x:v>36.3330721</x:v>
      </x:c>
      <x:c r="U282" s="22" t="n">
        <x:v>127.4315986</x:v>
      </x:c>
    </x:row>
    <x:row r="283" ht="32" customHeight="1">
      <x:c r="A283" s="18" t="str">
        <x:v>pending</x:v>
      </x:c>
      <x:c r="B283" s="18" t="str">
        <x:v>동구</x:v>
      </x:c>
      <x:c r="C283" s="17" t="str">
        <x:v>효자한식뷔페</x:v>
      </x:c>
      <x:c r="D283" s="17" t="str">
        <x:v>음식점&gt;한식</x:v>
      </x:c>
      <x:c r="E283" s="19" t="n">
        <x:v>52</x:v>
      </x:c>
      <x:c r="F283" s="17" t="str">
        <x:v>최근 12개월 블로그 100건</x:v>
      </x:c>
      <x:c r="G283" s="17" t="str">
        <x:v>대전광역시 동구 중동 56-1 1층</x:v>
      </x:c>
      <x:c r="H283" s="17" t="str">
        <x:v>대전광역시 동구 대전로813번길 49 1층</x:v>
      </x:c>
      <x:c r="I283" s="18" t="e">
        <x:f>HYPERLINK("https://search.naver.com/search.naver?where=blog&amp;query=%ED%9A%A8%EC%9E%90%ED%95%9C%EC%8B%9D%EB%B7%94%ED%8E%98+%EB%8F%99%EA%B5%AC","블로그 보기")</x:f>
        <x:v>HYPERLINK is not implemented. linkLocation=https://search.naver.com/search.naver?where=blog&amp;query=%ED%9A%A8%EC%9E%90%ED%95%9C%EC%8B%9D%EB%B7%94%ED%8E%98+%EB%8F%99%EA%B5%AC, friendlyName=블로그 보기</x:v>
      </x:c>
      <x:c r="J283" s="18" t="e">
        <x:f>HYPERLINK("https://www.instagram.com/hyoja_buffet_daejeon","업체 보기")</x:f>
        <x:v>HYPERLINK is not implemented. linkLocation=https://www.instagram.com/hyoja_buffet_daejeon, friendlyName=업체 보기</x:v>
      </x:c>
      <x:c r="K283" s="18" t="str"/>
      <x:c r="L283" s="17" t="str"/>
      <x:c r="M283" s="20" t="n">
        <x:v>46220</x:v>
      </x:c>
      <x:c r="N283" s="21" t="n">
        <x:v>100</x:v>
      </x:c>
      <x:c r="O283" s="21" t="n">
        <x:v>94</x:v>
      </x:c>
      <x:c r="P283" s="21" t="n">
        <x:v>718</x:v>
      </x:c>
      <x:c r="Q283" s="21" t="n">
        <x:v>1</x:v>
      </x:c>
      <x:c r="R283" s="21" t="n">
        <x:v>0</x:v>
      </x:c>
      <x:c r="S283" s="17" t="str">
        <x:v>대전역 고기</x:v>
      </x:c>
      <x:c r="T283" s="22" t="n">
        <x:v>36.3310723</x:v>
      </x:c>
      <x:c r="U283" s="22" t="n">
        <x:v>127.4296596</x:v>
      </x:c>
    </x:row>
    <x:row r="284" ht="32" customHeight="1">
      <x:c r="A284" s="18" t="str">
        <x:v>pending</x:v>
      </x:c>
      <x:c r="B284" s="18" t="str">
        <x:v>동구</x:v>
      </x:c>
      <x:c r="C284" s="17" t="str">
        <x:v>김굽는남자들</x:v>
      </x:c>
      <x:c r="D284" s="17" t="str">
        <x:v>쇼핑,유통&gt;수산물</x:v>
      </x:c>
      <x:c r="E284" s="19" t="n">
        <x:v>51</x:v>
      </x:c>
      <x:c r="F284" s="17" t="str">
        <x:v>최근 12개월 블로그 100건</x:v>
      </x:c>
      <x:c r="G284" s="17" t="str">
        <x:v>대전광역시 동구 원동 63-4 1층</x:v>
      </x:c>
      <x:c r="H284" s="17" t="str">
        <x:v>대전광역시 동구 대전천동로 534 1층</x:v>
      </x:c>
      <x:c r="I284" s="18" t="e">
        <x:f>HYPERLINK("https://search.naver.com/search.naver?where=blog&amp;query=%EA%B9%80%EA%B5%BD%EB%8A%94%EB%82%A8%EC%9E%90%EB%93%A4+%EB%8C%80%EC%A0%84%EC%B2%9C%EB%8F%99","블로그 보기")</x:f>
        <x:v>HYPERLINK is not implemented. linkLocation=https://search.naver.com/search.naver?where=blog&amp;query=%EA%B9%80%EA%B5%BD%EB%8A%94%EB%82%A8%EC%9E%90%EB%93%A4+%EB%8C%80%EC%A0%84%EC%B2%9C%EB%8F%99, friendlyName=블로그 보기</x:v>
      </x:c>
      <x:c r="J284" s="18" t="e">
        <x:f>HYPERLINK("https://smartstore.naver.com/gimgupnam","업체 보기")</x:f>
        <x:v>HYPERLINK is not implemented. linkLocation=https://smartstore.naver.com/gimgupnam, friendlyName=업체 보기</x:v>
      </x:c>
      <x:c r="K284" s="18" t="str"/>
      <x:c r="L284" s="17" t="str"/>
      <x:c r="M284" s="20" t="n">
        <x:v>46223</x:v>
      </x:c>
      <x:c r="N284" s="21" t="n">
        <x:v>100</x:v>
      </x:c>
      <x:c r="O284" s="21" t="n">
        <x:v>82</x:v>
      </x:c>
      <x:c r="P284" s="21" t="n">
        <x:v>414</x:v>
      </x:c>
      <x:c r="Q284" s="21" t="n">
        <x:v>1</x:v>
      </x:c>
      <x:c r="R284" s="21" t="n">
        <x:v>0</x:v>
      </x:c>
      <x:c r="S284" s="17" t="str">
        <x:v>대전역 해산물</x:v>
      </x:c>
      <x:c r="T284" s="22" t="n">
        <x:v>36.3287332</x:v>
      </x:c>
      <x:c r="U284" s="22" t="n">
        <x:v>127.431137</x:v>
      </x:c>
    </x:row>
    <x:row r="285" ht="32" customHeight="1">
      <x:c r="A285" s="18" t="str">
        <x:v>pending</x:v>
      </x:c>
      <x:c r="B285" s="18" t="str">
        <x:v>동구</x:v>
      </x:c>
      <x:c r="C285" s="17" t="str">
        <x:v>만석코다리조림불쭈꾸미</x:v>
      </x:c>
      <x:c r="D285" s="17" t="str">
        <x:v>음식점&gt;한식</x:v>
      </x:c>
      <x:c r="E285" s="19" t="n">
        <x:v>51</x:v>
      </x:c>
      <x:c r="F285" s="17" t="str">
        <x:v>최근 12개월 블로그 96건</x:v>
      </x:c>
      <x:c r="G285" s="17" t="str">
        <x:v>대전광역시 동구 판암동 294-1 1층</x:v>
      </x:c>
      <x:c r="H285" s="17" t="str">
        <x:v>대전광역시 동구 새울로 8 1층</x:v>
      </x:c>
      <x:c r="I285" s="18" t="e">
        <x:f>HYPERLINK("https://search.naver.com/search.naver?where=blog&amp;query=%EB%A7%8C%EC%84%9D%EC%BD%94%EB%8B%A4%EB%A6%AC%EC%A1%B0%EB%A6%BC%EB%B6%88%EC%AD%88%EA%BE%B8%EB%AF%B8+%EB%8F%99%EA%B5%AC","블로그 보기")</x:f>
        <x:v>HYPERLINK is not implemented. linkLocation=https://search.naver.com/search.naver?where=blog&amp;query=%EB%A7%8C%EC%84%9D%EC%BD%94%EB%8B%A4%EB%A6%AC%EC%A1%B0%EB%A6%BC%EB%B6%88%EC%AD%88%EA%BE%B8%EB%AF%B8+%EB%8F%99%EA%B5%AC, friendlyName=블로그 보기</x:v>
      </x:c>
      <x:c r="J285" s="18" t="str"/>
      <x:c r="K285" s="18" t="str"/>
      <x:c r="L285" s="17" t="str"/>
      <x:c r="M285" s="20" t="n">
        <x:v>46208</x:v>
      </x:c>
      <x:c r="N285" s="21" t="n">
        <x:v>96</x:v>
      </x:c>
      <x:c r="O285" s="21" t="n">
        <x:v>96</x:v>
      </x:c>
      <x:c r="P285" s="21" t="n">
        <x:v>387</x:v>
      </x:c>
      <x:c r="Q285" s="21" t="n">
        <x:v>1</x:v>
      </x:c>
      <x:c r="R285" s="21" t="n">
        <x:v>0</x:v>
      </x:c>
      <x:c r="S285" s="17" t="str">
        <x:v>판암동 칼국수</x:v>
      </x:c>
      <x:c r="T285" s="22" t="n">
        <x:v>36.3191697</x:v>
      </x:c>
      <x:c r="U285" s="22" t="n">
        <x:v>127.4623837</x:v>
      </x:c>
    </x:row>
    <x:row r="286" ht="32" customHeight="1">
      <x:c r="A286" s="18" t="str">
        <x:v>pending</x:v>
      </x:c>
      <x:c r="B286" s="18" t="str">
        <x:v>동구</x:v>
      </x:c>
      <x:c r="C286" s="17" t="str">
        <x:v>만포분식</x:v>
      </x:c>
      <x:c r="D286" s="17" t="str">
        <x:v>분식&gt;종합분식</x:v>
      </x:c>
      <x:c r="E286" s="19" t="n">
        <x:v>51</x:v>
      </x:c>
      <x:c r="F286" s="17" t="str">
        <x:v>최근 12개월 블로그 17건</x:v>
      </x:c>
      <x:c r="G286" s="17" t="str">
        <x:v>대전광역시 동구 홍도동 72-32 만포분식</x:v>
      </x:c>
      <x:c r="H286" s="17" t="str">
        <x:v>대전광역시 동구 한남로7번길 89 만포분식</x:v>
      </x:c>
      <x:c r="I286" s="18" t="e">
        <x:f>HYPERLINK("https://search.naver.com/search.naver?where=blog&amp;query=%EB%A7%8C%ED%8F%AC%EB%B6%84%EC%8B%9D+%EB%8F%99%EA%B5%AC","블로그 보기")</x:f>
        <x:v>HYPERLINK is not implemented. linkLocation=https://search.naver.com/search.naver?where=blog&amp;query=%EB%A7%8C%ED%8F%AC%EB%B6%84%EC%8B%9D+%EB%8F%99%EA%B5%AC, friendlyName=블로그 보기</x:v>
      </x:c>
      <x:c r="J286" s="18" t="e">
        <x:f>HYPERLINK("https://blog.naver.com/manpo2069","업체 보기")</x:f>
        <x:v>HYPERLINK is not implemented. linkLocation=https://blog.naver.com/manpo2069, friendlyName=업체 보기</x:v>
      </x:c>
      <x:c r="K286" s="18" t="str"/>
      <x:c r="L286" s="17" t="str"/>
      <x:c r="M286" s="20" t="n">
        <x:v>46221</x:v>
      </x:c>
      <x:c r="N286" s="21" t="n">
        <x:v>17</x:v>
      </x:c>
      <x:c r="O286" s="21" t="n">
        <x:v>97</x:v>
      </x:c>
      <x:c r="P286" s="21" t="n">
        <x:v>231</x:v>
      </x:c>
      <x:c r="Q286" s="21" t="n">
        <x:v>1</x:v>
      </x:c>
      <x:c r="R286" s="21" t="n">
        <x:v>0</x:v>
      </x:c>
      <x:c r="S286" s="17" t="str">
        <x:v>소제동 분식</x:v>
      </x:c>
      <x:c r="T286" s="22" t="n">
        <x:v>36.3475381</x:v>
      </x:c>
      <x:c r="U286" s="22" t="n">
        <x:v>127.4293885</x:v>
      </x:c>
    </x:row>
    <x:row r="287" ht="32" customHeight="1">
      <x:c r="A287" s="18" t="str">
        <x:v>pending</x:v>
      </x:c>
      <x:c r="B287" s="18" t="str">
        <x:v>동구</x:v>
      </x:c>
      <x:c r="C287" s="17" t="str">
        <x:v>친친양꼬치</x:v>
      </x:c>
      <x:c r="D287" s="17" t="str">
        <x:v>중식&gt;양꼬치</x:v>
      </x:c>
      <x:c r="E287" s="19" t="n">
        <x:v>51</x:v>
      </x:c>
      <x:c r="F287" s="17" t="str">
        <x:v>최근 12개월 블로그 54건</x:v>
      </x:c>
      <x:c r="G287" s="17" t="str">
        <x:v>대전광역시 동구 정동 13-7</x:v>
      </x:c>
      <x:c r="H287" s="17" t="str">
        <x:v>대전광역시 동구 대전로815번길 32</x:v>
      </x:c>
      <x:c r="I287" s="18" t="e">
        <x:f>HYPERLINK("https://search.naver.com/search.naver?where=blog&amp;query=%EC%B9%9C%EC%B9%9C%EC%96%91%EA%BC%AC%EC%B9%98+%EB%8F%99%EA%B5%AC","블로그 보기")</x:f>
        <x:v>HYPERLINK is not implemented. linkLocation=https://search.naver.com/search.naver?where=blog&amp;query=%EC%B9%9C%EC%B9%9C%EC%96%91%EA%BC%AC%EC%B9%98+%EB%8F%99%EA%B5%AC, friendlyName=블로그 보기</x:v>
      </x:c>
      <x:c r="J287" s="18" t="str"/>
      <x:c r="K287" s="18" t="str"/>
      <x:c r="L287" s="17" t="str"/>
      <x:c r="M287" s="20" t="n">
        <x:v>46219</x:v>
      </x:c>
      <x:c r="N287" s="21" t="n">
        <x:v>54</x:v>
      </x:c>
      <x:c r="O287" s="21" t="n">
        <x:v>95</x:v>
      </x:c>
      <x:c r="P287" s="21" t="n">
        <x:v>243</x:v>
      </x:c>
      <x:c r="Q287" s="21" t="n">
        <x:v>1</x:v>
      </x:c>
      <x:c r="R287" s="21" t="n">
        <x:v>0</x:v>
      </x:c>
      <x:c r="S287" s="17" t="str">
        <x:v>대전역 중식</x:v>
      </x:c>
      <x:c r="T287" s="22" t="n">
        <x:v>36.3334249</x:v>
      </x:c>
      <x:c r="U287" s="22" t="n">
        <x:v>127.4311642</x:v>
      </x:c>
    </x:row>
    <x:row r="288" ht="32" customHeight="1">
      <x:c r="A288" s="18" t="str">
        <x:v>pending</x:v>
      </x:c>
      <x:c r="B288" s="18" t="str">
        <x:v>동구</x:v>
      </x:c>
      <x:c r="C288" s="17" t="str">
        <x:v>순옥이네</x:v>
      </x:c>
      <x:c r="D288" s="17" t="str">
        <x:v>음식점&gt;한식</x:v>
      </x:c>
      <x:c r="E288" s="19" t="n">
        <x:v>50</x:v>
      </x:c>
      <x:c r="F288" s="17" t="str">
        <x:v>최근 12개월 블로그 15건</x:v>
      </x:c>
      <x:c r="G288" s="17" t="str">
        <x:v>대전광역시 동구 원동 49-14 1층 순옥이네</x:v>
      </x:c>
      <x:c r="H288" s="17" t="str">
        <x:v>대전광역시 동구 중앙로204번길 51 1층 순옥이네</x:v>
      </x:c>
      <x:c r="I288" s="18" t="e">
        <x:f>HYPERLINK("https://search.naver.com/search.naver?where=blog&amp;query=%EC%88%9C%EC%98%A5%EC%9D%B4%EB%84%A4+%EB%8F%99%EA%B5%AC","블로그 보기")</x:f>
        <x:v>HYPERLINK is not implemented. linkLocation=https://search.naver.com/search.naver?where=blog&amp;query=%EC%88%9C%EC%98%A5%EC%9D%B4%EB%84%A4+%EB%8F%99%EA%B5%AC, friendlyName=블로그 보기</x:v>
      </x:c>
      <x:c r="J288" s="18" t="str"/>
      <x:c r="K288" s="18" t="str"/>
      <x:c r="L288" s="17" t="str"/>
      <x:c r="M288" s="20" t="n">
        <x:v>46205</x:v>
      </x:c>
      <x:c r="N288" s="21" t="n">
        <x:v>15</x:v>
      </x:c>
      <x:c r="O288" s="21" t="n">
        <x:v>90</x:v>
      </x:c>
      <x:c r="P288" s="21" t="n">
        <x:v>147</x:v>
      </x:c>
      <x:c r="Q288" s="21" t="n">
        <x:v>1</x:v>
      </x:c>
      <x:c r="R288" s="21" t="n">
        <x:v>0</x:v>
      </x:c>
      <x:c r="S288" s="17" t="str">
        <x:v>대전역 두부두루치기</x:v>
      </x:c>
      <x:c r="T288" s="22" t="n">
        <x:v>36.3288301</x:v>
      </x:c>
      <x:c r="U288" s="22" t="n">
        <x:v>127.4331999</x:v>
      </x:c>
    </x:row>
    <x:row r="289" ht="32" customHeight="1">
      <x:c r="A289" s="18" t="str">
        <x:v>pending</x:v>
      </x:c>
      <x:c r="B289" s="18" t="str">
        <x:v>동구</x:v>
      </x:c>
      <x:c r="C289" s="17" t="str">
        <x:v>싱싱횟집</x:v>
      </x:c>
      <x:c r="D289" s="17" t="str">
        <x:v>한식&gt;생선회</x:v>
      </x:c>
      <x:c r="E289" s="19" t="n">
        <x:v>50</x:v>
      </x:c>
      <x:c r="F289" s="17" t="str">
        <x:v>최근 12개월 블로그 40건</x:v>
      </x:c>
      <x:c r="G289" s="17" t="str">
        <x:v>대전광역시 동구 가양동 435-21</x:v>
      </x:c>
      <x:c r="H289" s="17" t="str">
        <x:v>대전광역시 동구 동대전로283번길 52</x:v>
      </x:c>
      <x:c r="I289" s="18" t="e">
        <x:f>HYPERLINK("https://search.naver.com/search.naver?where=blog&amp;query=%EC%8B%B1%EC%8B%B1%ED%9A%9F%EC%A7%91+%EB%8F%99%EA%B5%AC","블로그 보기")</x:f>
        <x:v>HYPERLINK is not implemented. linkLocation=https://search.naver.com/search.naver?where=blog&amp;query=%EC%8B%B1%EC%8B%B1%ED%9A%9F%EC%A7%91+%EB%8F%99%EA%B5%AC, friendlyName=블로그 보기</x:v>
      </x:c>
      <x:c r="J289" s="18" t="str"/>
      <x:c r="K289" s="18" t="str"/>
      <x:c r="L289" s="17" t="str"/>
      <x:c r="M289" s="20" t="n">
        <x:v>46197</x:v>
      </x:c>
      <x:c r="N289" s="21" t="n">
        <x:v>40</x:v>
      </x:c>
      <x:c r="O289" s="21" t="n">
        <x:v>89</x:v>
      </x:c>
      <x:c r="P289" s="21" t="n">
        <x:v>106</x:v>
      </x:c>
      <x:c r="Q289" s="21" t="n">
        <x:v>1</x:v>
      </x:c>
      <x:c r="R289" s="21" t="n">
        <x:v>0</x:v>
      </x:c>
      <x:c r="S289" s="17" t="str">
        <x:v>소제동 해산물</x:v>
      </x:c>
      <x:c r="T289" s="22" t="n">
        <x:v>36.3450653</x:v>
      </x:c>
      <x:c r="U289" s="22" t="n">
        <x:v>127.4425768</x:v>
      </x:c>
    </x:row>
    <x:row r="290" ht="32" customHeight="1">
      <x:c r="A290" s="18" t="str">
        <x:v>pending</x:v>
      </x:c>
      <x:c r="B290" s="18" t="str">
        <x:v>동구</x:v>
      </x:c>
      <x:c r="C290" s="17" t="str">
        <x:v>역전우동0410 대전역점</x:v>
      </x:c>
      <x:c r="D290" s="17" t="str">
        <x:v>음식점&gt;일식&gt;우동,소바</x:v>
      </x:c>
      <x:c r="E290" s="19" t="n">
        <x:v>50</x:v>
      </x:c>
      <x:c r="F290" s="17" t="str">
        <x:v>지역성: 대전; 최근 12개월 블로그 6건</x:v>
      </x:c>
      <x:c r="G290" s="17" t="str">
        <x:v>대전광역시 동구 정동 17-1</x:v>
      </x:c>
      <x:c r="H290" s="17" t="str">
        <x:v>대전광역시 동구 대전로 812</x:v>
      </x:c>
      <x:c r="I290" s="18" t="e">
        <x:f>HYPERLINK("https://search.naver.com/search.naver?where=blog&amp;query=%EC%97%AD%EC%A0%84%EC%9A%B0%EB%8F%990410+%EB%8C%80%EC%A0%84%EC%97%AD%EC%A0%90+%EB%8F%99%EA%B5%AC","블로그 보기")</x:f>
        <x:v>HYPERLINK is not implemented. linkLocation=https://search.naver.com/search.naver?where=blog&amp;query=%EC%97%AD%EC%A0%84%EC%9A%B0%EB%8F%990410+%EB%8C%80%EC%A0%84%EC%97%AD%EC%A0%90+%EB%8F%99%EA%B5%AC, friendlyName=블로그 보기</x:v>
      </x:c>
      <x:c r="J290" s="18" t="e">
        <x:f>HYPERLINK("http://udon0410.com/","업체 보기")</x:f>
        <x:v>HYPERLINK is not implemented. linkLocation=http://udon0410.com/, friendlyName=업체 보기</x:v>
      </x:c>
      <x:c r="K290" s="18" t="str"/>
      <x:c r="L290" s="17" t="str"/>
      <x:c r="M290" s="20" t="n">
        <x:v>46160</x:v>
      </x:c>
      <x:c r="N290" s="21" t="n">
        <x:v>6</x:v>
      </x:c>
      <x:c r="O290" s="21" t="n">
        <x:v>31</x:v>
      </x:c>
      <x:c r="P290" s="21" t="n">
        <x:v>40</x:v>
      </x:c>
      <x:c r="Q290" s="21" t="n">
        <x:v>1</x:v>
      </x:c>
      <x:c r="R290" s="21" t="n">
        <x:v>0</x:v>
      </x:c>
      <x:c r="S290" s="17" t="str">
        <x:v>대전역 일식</x:v>
      </x:c>
      <x:c r="T290" s="22" t="n">
        <x:v>36.3320666</x:v>
      </x:c>
      <x:c r="U290" s="22" t="n">
        <x:v>127.4324284</x:v>
      </x:c>
    </x:row>
    <x:row r="291" ht="32" customHeight="1">
      <x:c r="A291" s="18" t="str">
        <x:v>pending</x:v>
      </x:c>
      <x:c r="B291" s="18" t="str">
        <x:v>동구</x:v>
      </x:c>
      <x:c r="C291" s="17" t="str">
        <x:v>열린동남순대</x:v>
      </x:c>
      <x:c r="D291" s="17" t="str">
        <x:v>한식&gt;순대,순댓국</x:v>
      </x:c>
      <x:c r="E291" s="19" t="n">
        <x:v>50</x:v>
      </x:c>
      <x:c r="F291" s="17" t="str">
        <x:v>최근 12개월 블로그 93건</x:v>
      </x:c>
      <x:c r="G291" s="17" t="str">
        <x:v>대전광역시 동구 판암동 547-20</x:v>
      </x:c>
      <x:c r="H291" s="17" t="str">
        <x:v>대전광역시 동구 옻밭5길 39</x:v>
      </x:c>
      <x:c r="I291" s="18" t="e">
        <x:f>HYPERLINK("https://search.naver.com/search.naver?where=blog&amp;query=%EC%97%B4%EB%A6%B0%EB%8F%99%EB%82%A8%EC%88%9C%EB%8C%80+%EB%8F%99%EA%B5%AC","블로그 보기")</x:f>
        <x:v>HYPERLINK is not implemented. linkLocation=https://search.naver.com/search.naver?where=blog&amp;query=%EC%97%B4%EB%A6%B0%EB%8F%99%EB%82%A8%EC%88%9C%EB%8C%80+%EB%8F%99%EA%B5%AC, friendlyName=블로그 보기</x:v>
      </x:c>
      <x:c r="J291" s="18" t="str"/>
      <x:c r="K291" s="18" t="str"/>
      <x:c r="L291" s="17" t="str"/>
      <x:c r="M291" s="20" t="n">
        <x:v>46220</x:v>
      </x:c>
      <x:c r="N291" s="21" t="n">
        <x:v>93</x:v>
      </x:c>
      <x:c r="O291" s="21" t="n">
        <x:v>15</x:v>
      </x:c>
      <x:c r="P291" s="21" t="n">
        <x:v>117</x:v>
      </x:c>
      <x:c r="Q291" s="21" t="n">
        <x:v>1</x:v>
      </x:c>
      <x:c r="R291" s="21" t="n">
        <x:v>0</x:v>
      </x:c>
      <x:c r="S291" s="17" t="str">
        <x:v>판암동 국밥</x:v>
      </x:c>
      <x:c r="T291" s="22" t="n">
        <x:v>36.3228602</x:v>
      </x:c>
      <x:c r="U291" s="22" t="n">
        <x:v>127.4475148</x:v>
      </x:c>
    </x:row>
    <x:row r="292" ht="32" customHeight="1">
      <x:c r="A292" s="18" t="str">
        <x:v>pending</x:v>
      </x:c>
      <x:c r="B292" s="18" t="str">
        <x:v>동구</x:v>
      </x:c>
      <x:c r="C292" s="17" t="str">
        <x:v>윤성범보쌈칼국수</x:v>
      </x:c>
      <x:c r="D292" s="17" t="str">
        <x:v>한식&gt;칼국수,만두</x:v>
      </x:c>
      <x:c r="E292" s="19" t="n">
        <x:v>50</x:v>
      </x:c>
      <x:c r="F292" s="17" t="str">
        <x:v>지역성: 칼국수; 최근 12개월 블로그 5건</x:v>
      </x:c>
      <x:c r="G292" s="17" t="str">
        <x:v>대전광역시 동구 용운동 725</x:v>
      </x:c>
      <x:c r="H292" s="17" t="str">
        <x:v>대전광역시 동구 백룡로 68</x:v>
      </x:c>
      <x:c r="I292" s="18" t="e">
        <x:f>HYPERLINK("https://search.naver.com/search.naver?where=blog&amp;query=%EC%9C%A4%EC%84%B1%EB%B2%94%EB%B3%B4%EC%8C%88%EC%B9%BC%EA%B5%AD%EC%88%98+%EB%8F%99%EA%B5%AC","블로그 보기")</x:f>
        <x:v>HYPERLINK is not implemented. linkLocation=https://search.naver.com/search.naver?where=blog&amp;query=%EC%9C%A4%EC%84%B1%EB%B2%94%EB%B3%B4%EC%8C%88%EC%B9%BC%EA%B5%AD%EC%88%98+%EB%8F%99%EA%B5%AC, friendlyName=블로그 보기</x:v>
      </x:c>
      <x:c r="J292" s="18" t="e">
        <x:f>HYPERLINK("https://www.instagram.com/yunssam_kalguksu","업체 보기")</x:f>
        <x:v>HYPERLINK is not implemented. linkLocation=https://www.instagram.com/yunssam_kalguksu, friendlyName=업체 보기</x:v>
      </x:c>
      <x:c r="K292" s="18" t="str"/>
      <x:c r="L292" s="17" t="str"/>
      <x:c r="M292" s="20" t="n">
        <x:v>46165</x:v>
      </x:c>
      <x:c r="N292" s="21" t="n">
        <x:v>5</x:v>
      </x:c>
      <x:c r="O292" s="21" t="n">
        <x:v>14</x:v>
      </x:c>
      <x:c r="P292" s="21" t="n">
        <x:v>14</x:v>
      </x:c>
      <x:c r="Q292" s="21" t="n">
        <x:v>1</x:v>
      </x:c>
      <x:c r="R292" s="21" t="n">
        <x:v>1</x:v>
      </x:c>
      <x:c r="S292" s="17" t="str">
        <x:v>용운동 칼국수</x:v>
      </x:c>
      <x:c r="T292" s="22" t="n">
        <x:v>36.3328901</x:v>
      </x:c>
      <x:c r="U292" s="22" t="n">
        <x:v>127.4532345</x:v>
      </x:c>
    </x:row>
    <x:row r="293" ht="32" customHeight="1">
      <x:c r="A293" s="18" t="str">
        <x:v>pending</x:v>
      </x:c>
      <x:c r="B293" s="18" t="str">
        <x:v>동구</x:v>
      </x:c>
      <x:c r="C293" s="17" t="str">
        <x:v>팔진향</x:v>
      </x:c>
      <x:c r="D293" s="17" t="str">
        <x:v>중식&gt;중식당</x:v>
      </x:c>
      <x:c r="E293" s="19" t="n">
        <x:v>50</x:v>
      </x:c>
      <x:c r="F293" s="17" t="str">
        <x:v>최근 12개월 블로그 52건</x:v>
      </x:c>
      <x:c r="G293" s="17" t="str">
        <x:v>대전광역시 동구 용운동 623 1층</x:v>
      </x:c>
      <x:c r="H293" s="17" t="str">
        <x:v>대전광역시 동구 대학로 59 1층</x:v>
      </x:c>
      <x:c r="I293" s="18" t="e">
        <x:f>HYPERLINK("https://search.naver.com/search.naver?where=blog&amp;query=%ED%8C%94%EC%A7%84%ED%96%A5+%EB%8F%99%EA%B5%AC","블로그 보기")</x:f>
        <x:v>HYPERLINK is not implemented. linkLocation=https://search.naver.com/search.naver?where=blog&amp;query=%ED%8C%94%EC%A7%84%ED%96%A5+%EB%8F%99%EA%B5%AC, friendlyName=블로그 보기</x:v>
      </x:c>
      <x:c r="J293" s="18" t="e">
        <x:f>HYPERLINK("http://0422855553.tshome.co.kr/","업체 보기")</x:f>
        <x:v>HYPERLINK is not implemented. linkLocation=http://0422855553.tshome.co.kr/, friendlyName=업체 보기</x:v>
      </x:c>
      <x:c r="K293" s="18" t="str"/>
      <x:c r="L293" s="17" t="str"/>
      <x:c r="M293" s="20" t="n">
        <x:v>46097</x:v>
      </x:c>
      <x:c r="N293" s="21" t="n">
        <x:v>52</x:v>
      </x:c>
      <x:c r="O293" s="21" t="n">
        <x:v>82</x:v>
      </x:c>
      <x:c r="P293" s="21" t="n">
        <x:v>108</x:v>
      </x:c>
      <x:c r="Q293" s="21" t="n">
        <x:v>1</x:v>
      </x:c>
      <x:c r="R293" s="21" t="n">
        <x:v>0</x:v>
      </x:c>
      <x:c r="S293" s="17" t="str">
        <x:v>용운동 중식</x:v>
      </x:c>
      <x:c r="T293" s="22" t="n">
        <x:v>36.335185</x:v>
      </x:c>
      <x:c r="U293" s="22" t="n">
        <x:v>127.4560845</x:v>
      </x:c>
    </x:row>
    <x:row r="294" ht="32" customHeight="1">
      <x:c r="A294" s="18" t="str">
        <x:v>pending</x:v>
      </x:c>
      <x:c r="B294" s="18" t="str">
        <x:v>동구</x:v>
      </x:c>
      <x:c r="C294" s="17" t="str">
        <x:v>한마음식당</x:v>
      </x:c>
      <x:c r="D294" s="17" t="str">
        <x:v>음식점&gt;한식</x:v>
      </x:c>
      <x:c r="E294" s="19" t="n">
        <x:v>49</x:v>
      </x:c>
      <x:c r="F294" s="17" t="str">
        <x:v>최근 12개월 블로그 18건</x:v>
      </x:c>
      <x:c r="G294" s="17" t="str">
        <x:v>대전광역시 동구 소제동 299-371</x:v>
      </x:c>
      <x:c r="H294" s="17" t="str">
        <x:v>대전광역시 동구 대동천좌안5길 5</x:v>
      </x:c>
      <x:c r="I294" s="18" t="e">
        <x:f>HYPERLINK("https://search.naver.com/search.naver?where=blog&amp;query=%ED%95%9C%EB%A7%88%EC%9D%8C%EC%8B%9D%EB%8B%B9+%EB%8C%80%EB%8F%99","블로그 보기")</x:f>
        <x:v>HYPERLINK is not implemented. linkLocation=https://search.naver.com/search.naver?where=blog&amp;query=%ED%95%9C%EB%A7%88%EC%9D%8C%EC%8B%9D%EB%8B%B9+%EB%8C%80%EB%8F%99, friendlyName=블로그 보기</x:v>
      </x:c>
      <x:c r="J294" s="18" t="str"/>
      <x:c r="K294" s="18" t="str"/>
      <x:c r="L294" s="17" t="str"/>
      <x:c r="M294" s="20" t="n">
        <x:v>46052</x:v>
      </x:c>
      <x:c r="N294" s="21" t="n">
        <x:v>18</x:v>
      </x:c>
      <x:c r="O294" s="21" t="n">
        <x:v>35</x:v>
      </x:c>
      <x:c r="P294" s="21" t="n">
        <x:v>64</x:v>
      </x:c>
      <x:c r="Q294" s="21" t="n">
        <x:v>1</x:v>
      </x:c>
      <x:c r="R294" s="21" t="n">
        <x:v>0</x:v>
      </x:c>
      <x:c r="S294" s="17" t="str">
        <x:v>소제동 한식</x:v>
      </x:c>
      <x:c r="T294" s="22" t="n">
        <x:v>36.3337215</x:v>
      </x:c>
      <x:c r="U294" s="22" t="n">
        <x:v>127.4383545</x:v>
      </x:c>
    </x:row>
    <x:row r="295" ht="32" customHeight="1">
      <x:c r="A295" s="18" t="str">
        <x:v>pending</x:v>
      </x:c>
      <x:c r="B295" s="18" t="str">
        <x:v>동구</x:v>
      </x:c>
      <x:c r="C295" s="17" t="str">
        <x:v>광천순대</x:v>
      </x:c>
      <x:c r="D295" s="17" t="str">
        <x:v>음식점&gt;한식</x:v>
      </x:c>
      <x:c r="E295" s="19" t="n">
        <x:v>48</x:v>
      </x:c>
      <x:c r="F295" s="17" t="str">
        <x:v>최근 12개월 블로그 13건</x:v>
      </x:c>
      <x:c r="G295" s="17" t="str">
        <x:v>대전광역시 동구 인동 30-2</x:v>
      </x:c>
      <x:c r="H295" s="17" t="str">
        <x:v>대전광역시 동구 대전천동로 452-1</x:v>
      </x:c>
      <x:c r="I295" s="18" t="e">
        <x:f>HYPERLINK("https://search.naver.com/search.naver?where=blog&amp;query=%EA%B4%91%EC%B2%9C%EC%88%9C%EB%8C%80+%EB%8C%80%EC%A0%84%EC%B2%9C%EB%8F%99","블로그 보기")</x:f>
        <x:v>HYPERLINK is not implemented. linkLocation=https://search.naver.com/search.naver?where=blog&amp;query=%EA%B4%91%EC%B2%9C%EC%88%9C%EB%8C%80+%EB%8C%80%EC%A0%84%EC%B2%9C%EB%8F%99, friendlyName=블로그 보기</x:v>
      </x:c>
      <x:c r="J295" s="18" t="str"/>
      <x:c r="K295" s="18" t="str"/>
      <x:c r="L295" s="17" t="str"/>
      <x:c r="M295" s="20" t="n">
        <x:v>46010</x:v>
      </x:c>
      <x:c r="N295" s="21" t="n">
        <x:v>13</x:v>
      </x:c>
      <x:c r="O295" s="21" t="n">
        <x:v>18</x:v>
      </x:c>
      <x:c r="P295" s="21" t="n">
        <x:v>34</x:v>
      </x:c>
      <x:c r="Q295" s="21" t="n">
        <x:v>1</x:v>
      </x:c>
      <x:c r="R295" s="21" t="n">
        <x:v>0</x:v>
      </x:c>
      <x:c r="S295" s="17" t="str">
        <x:v>소제동 국밥</x:v>
      </x:c>
      <x:c r="T295" s="22" t="n">
        <x:v>36.3225849</x:v>
      </x:c>
      <x:c r="U295" s="22" t="n">
        <x:v>127.4360013</x:v>
      </x:c>
    </x:row>
    <x:row r="296" ht="32" customHeight="1">
      <x:c r="A296" s="18" t="str">
        <x:v>pending</x:v>
      </x:c>
      <x:c r="B296" s="18" t="str">
        <x:v>동구</x:v>
      </x:c>
      <x:c r="C296" s="17" t="str">
        <x:v>맛골</x:v>
      </x:c>
      <x:c r="D296" s="17" t="str">
        <x:v>한식&gt;순대,순댓국</x:v>
      </x:c>
      <x:c r="E296" s="19" t="n">
        <x:v>46</x:v>
      </x:c>
      <x:c r="F296" s="17" t="str">
        <x:v>최근 12개월 블로그 5건</x:v>
      </x:c>
      <x:c r="G296" s="17" t="str">
        <x:v>대전광역시 동구 용운동 290-14</x:v>
      </x:c>
      <x:c r="H296" s="17" t="str">
        <x:v>대전광역시 동구 용운로147번길 6</x:v>
      </x:c>
      <x:c r="I296" s="18" t="e">
        <x:f>HYPERLINK("https://search.naver.com/search.naver?where=blog&amp;query=%EB%A7%9B%EA%B3%A8+%EB%8F%99%EA%B5%AC","블로그 보기")</x:f>
        <x:v>HYPERLINK is not implemented. linkLocation=https://search.naver.com/search.naver?where=blog&amp;query=%EB%A7%9B%EA%B3%A8+%EB%8F%99%EA%B5%AC, friendlyName=블로그 보기</x:v>
      </x:c>
      <x:c r="J296" s="18" t="str"/>
      <x:c r="K296" s="18" t="str"/>
      <x:c r="L296" s="17" t="str"/>
      <x:c r="M296" s="20" t="n">
        <x:v>46204</x:v>
      </x:c>
      <x:c r="N296" s="21" t="n">
        <x:v>5</x:v>
      </x:c>
      <x:c r="O296" s="21" t="n">
        <x:v>31</x:v>
      </x:c>
      <x:c r="P296" s="21" t="n">
        <x:v>32</x:v>
      </x:c>
      <x:c r="Q296" s="21" t="n">
        <x:v>1</x:v>
      </x:c>
      <x:c r="R296" s="21" t="n">
        <x:v>1</x:v>
      </x:c>
      <x:c r="S296" s="17" t="str">
        <x:v>용운동 국밥</x:v>
      </x:c>
      <x:c r="T296" s="22" t="n">
        <x:v>36.328368</x:v>
      </x:c>
      <x:c r="U296" s="22" t="n">
        <x:v>127.4587925</x:v>
      </x:c>
    </x:row>
    <x:row r="297" ht="32" customHeight="1">
      <x:c r="A297" s="18" t="str">
        <x:v>pending</x:v>
      </x:c>
      <x:c r="B297" s="18" t="str">
        <x:v>동구</x:v>
      </x:c>
      <x:c r="C297" s="17" t="str">
        <x:v>남도수산</x:v>
      </x:c>
      <x:c r="D297" s="17" t="str">
        <x:v>쇼핑,유통&gt;수산물</x:v>
      </x:c>
      <x:c r="E297" s="19" t="n">
        <x:v>44</x:v>
      </x:c>
      <x:c r="F297" s="17" t="str">
        <x:v>최근 12개월 블로그 4건</x:v>
      </x:c>
      <x:c r="G297" s="17" t="str">
        <x:v>대전광역시 동구 용운동 351-1</x:v>
      </x:c>
      <x:c r="H297" s="17" t="str">
        <x:v>대전광역시 동구 새울로91번길 14-22</x:v>
      </x:c>
      <x:c r="I297" s="18" t="e">
        <x:f>HYPERLINK("https://search.naver.com/search.naver?where=blog&amp;query=%EB%82%A8%EB%8F%84%EC%88%98%EC%82%B0+%EB%8F%99%EA%B5%AC","블로그 보기")</x:f>
        <x:v>HYPERLINK is not implemented. linkLocation=https://search.naver.com/search.naver?where=blog&amp;query=%EB%82%A8%EB%8F%84%EC%88%98%EC%82%B0+%EB%8F%99%EA%B5%AC, friendlyName=블로그 보기</x:v>
      </x:c>
      <x:c r="J297" s="18" t="str"/>
      <x:c r="K297" s="18" t="str"/>
      <x:c r="L297" s="17" t="str"/>
      <x:c r="M297" s="20" t="n">
        <x:v>46067</x:v>
      </x:c>
      <x:c r="N297" s="21" t="n">
        <x:v>4</x:v>
      </x:c>
      <x:c r="O297" s="21" t="n">
        <x:v>34</x:v>
      </x:c>
      <x:c r="P297" s="21" t="n">
        <x:v>40</x:v>
      </x:c>
      <x:c r="Q297" s="21" t="n">
        <x:v>1</x:v>
      </x:c>
      <x:c r="R297" s="21" t="n">
        <x:v>1</x:v>
      </x:c>
      <x:c r="S297" s="17" t="str">
        <x:v>용운동 해산물</x:v>
      </x:c>
      <x:c r="T297" s="22" t="n">
        <x:v>36.327433</x:v>
      </x:c>
      <x:c r="U297" s="22" t="n">
        <x:v>127.4609616</x:v>
      </x:c>
    </x:row>
    <x:row r="298" ht="32" customHeight="1">
      <x:c r="A298" s="18" t="str">
        <x:v>pending</x:v>
      </x:c>
      <x:c r="B298" s="18" t="str">
        <x:v>동구</x:v>
      </x:c>
      <x:c r="C298" s="17" t="str">
        <x:v>백라면</x:v>
      </x:c>
      <x:c r="D298" s="17" t="str">
        <x:v>분식&gt;라면</x:v>
      </x:c>
      <x:c r="E298" s="19" t="n">
        <x:v>43</x:v>
      </x:c>
      <x:c r="F298" s="17" t="str">
        <x:v>최근 12개월 블로그 2건</x:v>
      </x:c>
      <x:c r="G298" s="17" t="str">
        <x:v>대전광역시 동구 소제동 309-3</x:v>
      </x:c>
      <x:c r="H298" s="17" t="str">
        <x:v>대전광역시 동구 계족로 277-1</x:v>
      </x:c>
      <x:c r="I298" s="18" t="e">
        <x:f>HYPERLINK("https://search.naver.com/search.naver?where=blog&amp;query=%EB%B0%B1%EB%9D%BC%EB%A9%B4+%EB%8F%99%EA%B5%AC","블로그 보기")</x:f>
        <x:v>HYPERLINK is not implemented. linkLocation=https://search.naver.com/search.naver?where=blog&amp;query=%EB%B0%B1%EB%9D%BC%EB%A9%B4+%EB%8F%99%EA%B5%AC, friendlyName=블로그 보기</x:v>
      </x:c>
      <x:c r="J298" s="18" t="str"/>
      <x:c r="K298" s="18" t="str"/>
      <x:c r="L298" s="17" t="str"/>
      <x:c r="M298" s="20" t="n">
        <x:v>46198</x:v>
      </x:c>
      <x:c r="N298" s="21" t="n">
        <x:v>2</x:v>
      </x:c>
      <x:c r="O298" s="21" t="n">
        <x:v>12</x:v>
      </x:c>
      <x:c r="P298" s="21" t="n">
        <x:v>12</x:v>
      </x:c>
      <x:c r="Q298" s="21" t="n">
        <x:v>2</x:v>
      </x:c>
      <x:c r="R298" s="21" t="n">
        <x:v>1</x:v>
      </x:c>
      <x:c r="S298" s="17" t="str">
        <x:v>소제동 분식</x:v>
      </x:c>
      <x:c r="T298" s="22" t="n">
        <x:v>36.3375201</x:v>
      </x:c>
      <x:c r="U298" s="22" t="n">
        <x:v>127.4379283</x:v>
      </x:c>
    </x:row>
    <x:row r="299" ht="32" customHeight="1">
      <x:c r="A299" s="18" t="str">
        <x:v>pending</x:v>
      </x:c>
      <x:c r="B299" s="18" t="str">
        <x:v>동구</x:v>
      </x:c>
      <x:c r="C299" s="17" t="str">
        <x:v>얼큰이칼국수 소제점</x:v>
      </x:c>
      <x:c r="D299" s="17" t="str">
        <x:v>한식&gt;칼국수,만두</x:v>
      </x:c>
      <x:c r="E299" s="19" t="n">
        <x:v>41</x:v>
      </x:c>
      <x:c r="F299" s="17" t="str">
        <x:v>지역성: 칼국수; 최근 12개월 블로그 1건</x:v>
      </x:c>
      <x:c r="G299" s="17" t="str">
        <x:v>대전광역시 동구 소제동 299-350</x:v>
      </x:c>
      <x:c r="H299" s="17" t="str">
        <x:v>대전광역시 동구 철갑길 3</x:v>
      </x:c>
      <x:c r="I299" s="18" t="e">
        <x:f>HYPERLINK("https://search.naver.com/search.naver?where=blog&amp;query=%EC%96%BC%ED%81%B0%EC%9D%B4%EC%B9%BC%EA%B5%AD%EC%88%98+%EC%86%8C%EC%A0%9C%EC%A0%90+%EB%8F%99%EA%B5%AC","블로그 보기")</x:f>
        <x:v>HYPERLINK is not implemented. linkLocation=https://search.naver.com/search.naver?where=blog&amp;query=%EC%96%BC%ED%81%B0%EC%9D%B4%EC%B9%BC%EA%B5%AD%EC%88%98+%EC%86%8C%EC%A0%9C%EC%A0%90+%EB%8F%99%EA%B5%AC, friendlyName=블로그 보기</x:v>
      </x:c>
      <x:c r="J299" s="18" t="str"/>
      <x:c r="K299" s="18" t="str"/>
      <x:c r="L299" s="17" t="str"/>
      <x:c r="M299" s="20" t="n">
        <x:v>46199</x:v>
      </x:c>
      <x:c r="N299" s="21" t="n">
        <x:v>1</x:v>
      </x:c>
      <x:c r="O299" s="21" t="n">
        <x:v>3</x:v>
      </x:c>
      <x:c r="P299" s="21" t="n">
        <x:v>3</x:v>
      </x:c>
      <x:c r="Q299" s="21" t="n">
        <x:v>3</x:v>
      </x:c>
      <x:c r="R299" s="21" t="n">
        <x:v>1</x:v>
      </x:c>
      <x:c r="S299" s="17" t="str">
        <x:v>소제동 칼국수 | 소제동 한식</x:v>
      </x:c>
      <x:c r="T299" s="22" t="n">
        <x:v>36.335293</x:v>
      </x:c>
      <x:c r="U299" s="22" t="n">
        <x:v>127.4388447</x:v>
      </x:c>
    </x:row>
    <x:row r="300" ht="32" customHeight="1">
      <x:c r="A300" s="18" t="str">
        <x:v>pending</x:v>
      </x:c>
      <x:c r="B300" s="18" t="str">
        <x:v>동구</x:v>
      </x:c>
      <x:c r="C300" s="17" t="str">
        <x:v>일구구공식당</x:v>
      </x:c>
      <x:c r="D300" s="17" t="str">
        <x:v>음식점&gt;한식</x:v>
      </x:c>
      <x:c r="E300" s="19" t="n">
        <x:v>41</x:v>
      </x:c>
      <x:c r="F300" s="17" t="str">
        <x:v>최근 12개월 블로그 4건</x:v>
      </x:c>
      <x:c r="G300" s="17" t="str">
        <x:v>대전광역시 동구 정동 26-26 1층</x:v>
      </x:c>
      <x:c r="H300" s="17" t="str">
        <x:v>대전광역시 동구 대전로813번길 3 1층</x:v>
      </x:c>
      <x:c r="I300" s="18" t="e">
        <x:f>HYPERLINK("https://search.naver.com/search.naver?where=blog&amp;query=%EC%9D%BC%EA%B5%AC%EA%B5%AC%EA%B3%B5%EC%8B%9D%EB%8B%B9+%EB%8F%99%EA%B5%AC","블로그 보기")</x:f>
        <x:v>HYPERLINK is not implemented. linkLocation=https://search.naver.com/search.naver?where=blog&amp;query=%EC%9D%BC%EA%B5%AC%EA%B5%AC%EA%B3%B5%EC%8B%9D%EB%8B%B9+%EB%8F%99%EA%B5%AC, friendlyName=블로그 보기</x:v>
      </x:c>
      <x:c r="J300" s="18" t="str"/>
      <x:c r="K300" s="18" t="str"/>
      <x:c r="L300" s="17" t="str"/>
      <x:c r="M300" s="20" t="n">
        <x:v>46110</x:v>
      </x:c>
      <x:c r="N300" s="21" t="n">
        <x:v>4</x:v>
      </x:c>
      <x:c r="O300" s="21" t="n">
        <x:v>25</x:v>
      </x:c>
      <x:c r="P300" s="21" t="n">
        <x:v>26</x:v>
      </x:c>
      <x:c r="Q300" s="21" t="n">
        <x:v>1</x:v>
      </x:c>
      <x:c r="R300" s="21" t="n">
        <x:v>0</x:v>
      </x:c>
      <x:c r="S300" s="17" t="str">
        <x:v>대전역 국밥</x:v>
      </x:c>
      <x:c r="T300" s="22" t="n">
        <x:v>36.331953</x:v>
      </x:c>
      <x:c r="U300" s="22" t="n">
        <x:v>127.4319568</x:v>
      </x:c>
    </x:row>
    <x:row r="301" ht="32" customHeight="1">
      <x:c r="A301" s="18" t="str">
        <x:v>pending</x:v>
      </x:c>
      <x:c r="B301" s="18" t="str">
        <x:v>동구</x:v>
      </x:c>
      <x:c r="C301" s="17" t="str">
        <x:v>겐로쿠 대전역점</x:v>
      </x:c>
      <x:c r="D301" s="17" t="str">
        <x:v>음식점&gt;일식&gt;우동,소바</x:v>
      </x:c>
      <x:c r="E301" s="19" t="n">
        <x:v>40</x:v>
      </x:c>
      <x:c r="F301" s="17" t="str">
        <x:v>지역성: 대전; 최근 12개월 블로그 1건</x:v>
      </x:c>
      <x:c r="G301" s="17" t="str">
        <x:v>대전광역시 동구 정동 1-1 대전역 1층</x:v>
      </x:c>
      <x:c r="H301" s="17" t="str">
        <x:v>대전광역시 동구 중앙로 215 대전역 1층</x:v>
      </x:c>
      <x:c r="I301" s="18" t="e">
        <x:f>HYPERLINK("https://search.naver.com/search.naver?where=blog&amp;query=%EA%B2%90%EB%A1%9C%EC%BF%A0+%EB%8C%80%EC%A0%84%EC%97%AD%EC%A0%90+%EB%8F%99%EA%B5%AC","블로그 보기")</x:f>
        <x:v>HYPERLINK is not implemented. linkLocation=https://search.naver.com/search.naver?where=blog&amp;query=%EA%B2%90%EB%A1%9C%EC%BF%A0+%EB%8C%80%EC%A0%84%EC%97%AD%EC%A0%90+%EB%8F%99%EA%B5%AC, friendlyName=블로그 보기</x:v>
      </x:c>
      <x:c r="J301" s="18" t="str"/>
      <x:c r="K301" s="18" t="str"/>
      <x:c r="L301" s="17" t="str"/>
      <x:c r="M301" s="20" t="n">
        <x:v>45918</x:v>
      </x:c>
      <x:c r="N301" s="21" t="n">
        <x:v>1</x:v>
      </x:c>
      <x:c r="O301" s="21" t="n">
        <x:v>34</x:v>
      </x:c>
      <x:c r="P301" s="21" t="n">
        <x:v>34</x:v>
      </x:c>
      <x:c r="Q301" s="21" t="n">
        <x:v>1</x:v>
      </x:c>
      <x:c r="R301" s="21" t="n">
        <x:v>0</x:v>
      </x:c>
      <x:c r="S301" s="17" t="str">
        <x:v>대전역 일식</x:v>
      </x:c>
      <x:c r="T301" s="22" t="n">
        <x:v>36.3320176</x:v>
      </x:c>
      <x:c r="U301" s="22" t="n">
        <x:v>127.4340796</x:v>
      </x:c>
    </x:row>
    <x:row r="302" ht="32" customHeight="1">
      <x:c r="A302" s="18" t="str">
        <x:v>pending</x:v>
      </x:c>
      <x:c r="B302" s="18" t="str">
        <x:v>서구</x:v>
      </x:c>
      <x:c r="C302" s="17" t="str">
        <x:v>손의손 본점</x:v>
      </x:c>
      <x:c r="D302" s="17" t="str">
        <x:v>해물,생선요리&gt;주꾸미요리</x:v>
      </x:c>
      <x:c r="E302" s="19" t="n">
        <x:v>88</x:v>
      </x:c>
      <x:c r="F302" s="17" t="str">
        <x:v>지역성: 본점; 최근 12개월 블로그 100건</x:v>
      </x:c>
      <x:c r="G302" s="17" t="str">
        <x:v>대전광역시 서구 둔산동 1182 송전빌딩 101호 손의손 본점</x:v>
      </x:c>
      <x:c r="H302" s="17" t="str">
        <x:v>대전광역시 서구 둔산남로9번길 99 송전빌딩 101호 손의손 본점</x:v>
      </x:c>
      <x:c r="I302" s="18" t="e">
        <x:f>HYPERLINK("https://search.naver.com/search.naver?where=blog&amp;query=%EC%86%90%EC%9D%98%EC%86%90+%EB%B3%B8%EC%A0%90+%EC%84%9C%EA%B5%AC","블로그 보기")</x:f>
        <x:v>HYPERLINK is not implemented. linkLocation=https://search.naver.com/search.naver?where=blog&amp;query=%EC%86%90%EC%9D%98%EC%86%90+%EB%B3%B8%EC%A0%90+%EC%84%9C%EA%B5%AC, friendlyName=블로그 보기</x:v>
      </x:c>
      <x:c r="J302" s="18" t="e">
        <x:f>HYPERLINK("https://blog.naver.com/sonofson_","업체 보기")</x:f>
        <x:v>HYPERLINK is not implemented. linkLocation=https://blog.naver.com/sonofson_, friendlyName=업체 보기</x:v>
      </x:c>
      <x:c r="K302" s="18" t="str"/>
      <x:c r="L302" s="17" t="str"/>
      <x:c r="M302" s="20" t="n">
        <x:v>46220</x:v>
      </x:c>
      <x:c r="N302" s="21" t="n">
        <x:v>100</x:v>
      </x:c>
      <x:c r="O302" s="21" t="n">
        <x:v>100</x:v>
      </x:c>
      <x:c r="P302" s="21" t="n">
        <x:v>494</x:v>
      </x:c>
      <x:c r="Q302" s="21" t="n">
        <x:v>6</x:v>
      </x:c>
      <x:c r="R302" s="21" t="n">
        <x:v>6</x:v>
      </x:c>
      <x:c r="S302" s="17" t="str">
        <x:v>둔산동 고기 | 둔산동 냉면 | 둔산동 맛집 | 둔산동 칼국수 | 둔산동 한식 | 둔산동 해산물</x:v>
      </x:c>
      <x:c r="T302" s="22" t="n">
        <x:v>36.3506414</x:v>
      </x:c>
      <x:c r="U302" s="22" t="n">
        <x:v>127.3812017</x:v>
      </x:c>
    </x:row>
    <x:row r="303" ht="32" customHeight="1">
      <x:c r="A303" s="18" t="str">
        <x:v>pending</x:v>
      </x:c>
      <x:c r="B303" s="18" t="str">
        <x:v>서구</x:v>
      </x:c>
      <x:c r="C303" s="17" t="str">
        <x:v>벽돌곱창 시청본점</x:v>
      </x:c>
      <x:c r="D303" s="17" t="str">
        <x:v>한식&gt;곱창,막창,양</x:v>
      </x:c>
      <x:c r="E303" s="19" t="n">
        <x:v>83</x:v>
      </x:c>
      <x:c r="F303" s="17" t="str">
        <x:v>지역성: 본점; 최근 12개월 블로그 100건</x:v>
      </x:c>
      <x:c r="G303" s="17" t="str">
        <x:v>대전광역시 서구 둔산동 1453 1층 122호</x:v>
      </x:c>
      <x:c r="H303" s="17" t="str">
        <x:v>대전광역시 서구 둔산로 130 1층 122호</x:v>
      </x:c>
      <x:c r="I303" s="18" t="e">
        <x:f>HYPERLINK("https://search.naver.com/search.naver?where=blog&amp;query=%EB%B2%BD%EB%8F%8C%EA%B3%B1%EC%B0%BD+%EC%8B%9C%EC%B2%AD%EB%B3%B8%EC%A0%90+%EC%84%9C%EA%B5%AC","블로그 보기")</x:f>
        <x:v>HYPERLINK is not implemented. linkLocation=https://search.naver.com/search.naver?where=blog&amp;query=%EB%B2%BD%EB%8F%8C%EA%B3%B1%EC%B0%BD+%EC%8B%9C%EC%B2%AD%EB%B3%B8%EC%A0%90+%EC%84%9C%EA%B5%AC, friendlyName=블로그 보기</x:v>
      </x:c>
      <x:c r="J303" s="18" t="e">
        <x:f>HYPERLINK("https://www.벽돌곱창.com","업체 보기")</x:f>
        <x:v>HYPERLINK is not implemented. linkLocation=https://www.벽돌곱창.com, friendlyName=업체 보기</x:v>
      </x:c>
      <x:c r="K303" s="18" t="str"/>
      <x:c r="L303" s="17" t="str"/>
      <x:c r="M303" s="20" t="n">
        <x:v>46223</x:v>
      </x:c>
      <x:c r="N303" s="21" t="n">
        <x:v>100</x:v>
      </x:c>
      <x:c r="O303" s="21" t="n">
        <x:v>99</x:v>
      </x:c>
      <x:c r="P303" s="21" t="n">
        <x:v>2203</x:v>
      </x:c>
      <x:c r="Q303" s="21" t="n">
        <x:v>4</x:v>
      </x:c>
      <x:c r="R303" s="21" t="n">
        <x:v>4</x:v>
      </x:c>
      <x:c r="S303" s="17" t="str">
        <x:v>둔산동 고기 | 둔산동 맛집 | 둔산동 칼국수 | 둔산동 한식</x:v>
      </x:c>
      <x:c r="T303" s="22" t="n">
        <x:v>36.3508447</x:v>
      </x:c>
      <x:c r="U303" s="22" t="n">
        <x:v>127.3882399</x:v>
      </x:c>
    </x:row>
    <x:row r="304" ht="32" customHeight="1">
      <x:c r="A304" s="18" t="str">
        <x:v>pending</x:v>
      </x:c>
      <x:c r="B304" s="18" t="str">
        <x:v>서구</x:v>
      </x:c>
      <x:c r="C304" s="17" t="str">
        <x:v>뼈칼집 대전둔산점</x:v>
      </x:c>
      <x:c r="D304" s="17" t="str">
        <x:v>음식점&gt;한식</x:v>
      </x:c>
      <x:c r="E304" s="19" t="n">
        <x:v>81</x:v>
      </x:c>
      <x:c r="F304" s="17" t="str">
        <x:v>지역성: 대전; 최근 12개월 블로그 100건</x:v>
      </x:c>
      <x:c r="G304" s="17" t="str">
        <x:v>대전광역시 서구 둔산동 1462 1층 101호</x:v>
      </x:c>
      <x:c r="H304" s="17" t="str">
        <x:v>대전광역시 서구 둔산중로58번길 29 1층 101호</x:v>
      </x:c>
      <x:c r="I304" s="18" t="e">
        <x:f>HYPERLINK("https://search.naver.com/search.naver?where=blog&amp;query=%EB%BC%88%EC%B9%BC%EC%A7%91+%EB%8C%80%EC%A0%84%EB%91%94%EC%82%B0%EC%A0%90+%EC%84%9C%EA%B5%AC","블로그 보기")</x:f>
        <x:v>HYPERLINK is not implemented. linkLocation=https://search.naver.com/search.naver?where=blog&amp;query=%EB%BC%88%EC%B9%BC%EC%A7%91+%EB%8C%80%EC%A0%84%EB%91%94%EC%82%B0%EC%A0%90+%EC%84%9C%EA%B5%AC, friendlyName=블로그 보기</x:v>
      </x:c>
      <x:c r="J304" s="18" t="str"/>
      <x:c r="K304" s="18" t="str"/>
      <x:c r="L304" s="17" t="str"/>
      <x:c r="M304" s="20" t="n">
        <x:v>46223</x:v>
      </x:c>
      <x:c r="N304" s="21" t="n">
        <x:v>100</x:v>
      </x:c>
      <x:c r="O304" s="21" t="n">
        <x:v>81</x:v>
      </x:c>
      <x:c r="P304" s="21" t="n">
        <x:v>399</x:v>
      </x:c>
      <x:c r="Q304" s="21" t="n">
        <x:v>7</x:v>
      </x:c>
      <x:c r="R304" s="21" t="n">
        <x:v>3</x:v>
      </x:c>
      <x:c r="S304" s="17" t="str">
        <x:v>둔산동 고기 | 둔산동 맛집 | 둔산동 칼국수 | 둔산동 한식</x:v>
      </x:c>
      <x:c r="T304" s="22" t="n">
        <x:v>36.3518923</x:v>
      </x:c>
      <x:c r="U304" s="22" t="n">
        <x:v>127.3883728</x:v>
      </x:c>
    </x:row>
    <x:row r="305" ht="32" customHeight="1">
      <x:c r="A305" s="18" t="str">
        <x:v>pending</x:v>
      </x:c>
      <x:c r="B305" s="18" t="str">
        <x:v>서구</x:v>
      </x:c>
      <x:c r="C305" s="17" t="str">
        <x:v>몽상 대전둔산본점</x:v>
      </x:c>
      <x:c r="D305" s="17" t="str">
        <x:v>음식점&gt;일식&gt;일식당</x:v>
      </x:c>
      <x:c r="E305" s="19" t="n">
        <x:v>78</x:v>
      </x:c>
      <x:c r="F305" s="17" t="str">
        <x:v>지역성: 본점, 대전; 최근 12개월 블로그 100건</x:v>
      </x:c>
      <x:c r="G305" s="17" t="str">
        <x:v>대전광역시 서구 둔산동 1015 102호</x:v>
      </x:c>
      <x:c r="H305" s="17" t="str">
        <x:v>대전광역시 서구 둔산로31번길 10-35 102호</x:v>
      </x:c>
      <x:c r="I305" s="18" t="e">
        <x:f>HYPERLINK("https://search.naver.com/search.naver?where=blog&amp;query=%EB%AA%BD%EC%83%81+%EB%8C%80%EC%A0%84%EB%91%94%EC%82%B0%EB%B3%B8%EC%A0%90+%EC%84%9C%EA%B5%AC","블로그 보기")</x:f>
        <x:v>HYPERLINK is not implemented. linkLocation=https://search.naver.com/search.naver?where=blog&amp;query=%EB%AA%BD%EC%83%81+%EB%8C%80%EC%A0%84%EB%91%94%EC%82%B0%EB%B3%B8%EC%A0%90+%EC%84%9C%EA%B5%AC, friendlyName=블로그 보기</x:v>
      </x:c>
      <x:c r="J305" s="18" t="e">
        <x:f>HYPERLINK("https://www.instagram.com/mongsang_91","업체 보기")</x:f>
        <x:v>HYPERLINK is not implemented. linkLocation=https://www.instagram.com/mongsang_91, friendlyName=업체 보기</x:v>
      </x:c>
      <x:c r="K305" s="18" t="str"/>
      <x:c r="L305" s="17" t="str"/>
      <x:c r="M305" s="20" t="n">
        <x:v>46223</x:v>
      </x:c>
      <x:c r="N305" s="21" t="n">
        <x:v>100</x:v>
      </x:c>
      <x:c r="O305" s="21" t="n">
        <x:v>93</x:v>
      </x:c>
      <x:c r="P305" s="21" t="n">
        <x:v>7854</x:v>
      </x:c>
      <x:c r="Q305" s="21" t="n">
        <x:v>3</x:v>
      </x:c>
      <x:c r="R305" s="21" t="n">
        <x:v>2</x:v>
      </x:c>
      <x:c r="S305" s="17" t="str">
        <x:v>둔산동 고기 | 둔산동 일식</x:v>
      </x:c>
      <x:c r="T305" s="22" t="n">
        <x:v>36.3532485</x:v>
      </x:c>
      <x:c r="U305" s="22" t="n">
        <x:v>127.378116</x:v>
      </x:c>
    </x:row>
    <x:row r="306" ht="32" customHeight="1">
      <x:c r="A306" s="18" t="str">
        <x:v>pending</x:v>
      </x:c>
      <x:c r="B306" s="18" t="str">
        <x:v>서구</x:v>
      </x:c>
      <x:c r="C306" s="17" t="str">
        <x:v>보끄미 대전점</x:v>
      </x:c>
      <x:c r="D306" s="17" t="str">
        <x:v>한식&gt;주꾸미요리</x:v>
      </x:c>
      <x:c r="E306" s="19" t="n">
        <x:v>77</x:v>
      </x:c>
      <x:c r="F306" s="17" t="str">
        <x:v>지역성: 대전; 최근 12개월 블로그 8건</x:v>
      </x:c>
      <x:c r="G306" s="17" t="str">
        <x:v>대전광역시 서구 둔산동 1352 둔산의 아침 201호</x:v>
      </x:c>
      <x:c r="H306" s="17" t="str">
        <x:v>대전광역시 서구 대덕대로242번길 15 둔산의 아침 201호</x:v>
      </x:c>
      <x:c r="I306" s="18" t="e">
        <x:f>HYPERLINK("https://search.naver.com/search.naver?where=blog&amp;query=%EB%B3%B4%EB%81%84%EB%AF%B8+%EB%8C%80%EC%A0%84%EC%A0%90+%EC%84%9C%EA%B5%AC","블로그 보기")</x:f>
        <x:v>HYPERLINK is not implemented. linkLocation=https://search.naver.com/search.naver?where=blog&amp;query=%EB%B3%B4%EB%81%84%EB%AF%B8+%EB%8C%80%EC%A0%84%EC%A0%90+%EC%84%9C%EA%B5%AC, friendlyName=블로그 보기</x:v>
      </x:c>
      <x:c r="J306" s="18" t="str"/>
      <x:c r="K306" s="18" t="str"/>
      <x:c r="L306" s="17" t="str"/>
      <x:c r="M306" s="20" t="n">
        <x:v>46219</x:v>
      </x:c>
      <x:c r="N306" s="21" t="n">
        <x:v>8</x:v>
      </x:c>
      <x:c r="O306" s="21" t="n">
        <x:v>25</x:v>
      </x:c>
      <x:c r="P306" s="21" t="n">
        <x:v>30</x:v>
      </x:c>
      <x:c r="Q306" s="21" t="n">
        <x:v>4</x:v>
      </x:c>
      <x:c r="R306" s="21" t="n">
        <x:v>4</x:v>
      </x:c>
      <x:c r="S306" s="17" t="str">
        <x:v>둔산동 맛집 | 둔산동 칼국수 | 둔산동 한식 | 둔산동 해산물</x:v>
      </x:c>
      <x:c r="T306" s="22" t="n">
        <x:v>36.3544843</x:v>
      </x:c>
      <x:c r="U306" s="22" t="n">
        <x:v>127.3805899</x:v>
      </x:c>
    </x:row>
    <x:row r="307" ht="32" customHeight="1">
      <x:c r="A307" s="18" t="str">
        <x:v>pending</x:v>
      </x:c>
      <x:c r="B307" s="18" t="str">
        <x:v>서구</x:v>
      </x:c>
      <x:c r="C307" s="17" t="str">
        <x:v>대선칼국수 본점</x:v>
      </x:c>
      <x:c r="D307" s="17" t="str">
        <x:v>음식점&gt;한식</x:v>
      </x:c>
      <x:c r="E307" s="19" t="n">
        <x:v>73</x:v>
      </x:c>
      <x:c r="F307" s="17" t="str">
        <x:v>지역성: 본점, 칼국수; 최근 12개월 블로그 100건</x:v>
      </x:c>
      <x:c r="G307" s="17" t="str">
        <x:v>대전광역시 서구 둔산동 1440 오성빌딩 2층 대선칼국수</x:v>
      </x:c>
      <x:c r="H307" s="17" t="str">
        <x:v>대전광역시 서구 둔산중로40번길 28 오성빌딩 2층 대선칼국수</x:v>
      </x:c>
      <x:c r="I307" s="18" t="e">
        <x:f>HYPERLINK("https://search.naver.com/search.naver?where=blog&amp;query=%EB%8C%80%EC%84%A0%EC%B9%BC%EA%B5%AD%EC%88%98+%EB%B3%B8%EC%A0%90+%EC%84%9C%EA%B5%AC","블로그 보기")</x:f>
        <x:v>HYPERLINK is not implemented. linkLocation=https://search.naver.com/search.naver?where=blog&amp;query=%EB%8C%80%EC%84%A0%EC%B9%BC%EA%B5%AD%EC%88%98+%EB%B3%B8%EC%A0%90+%EC%84%9C%EA%B5%AC, friendlyName=블로그 보기</x:v>
      </x:c>
      <x:c r="J307" s="18" t="str"/>
      <x:c r="K307" s="18" t="str"/>
      <x:c r="L307" s="17" t="str"/>
      <x:c r="M307" s="20" t="n">
        <x:v>46221</x:v>
      </x:c>
      <x:c r="N307" s="21" t="n">
        <x:v>100</x:v>
      </x:c>
      <x:c r="O307" s="21" t="n">
        <x:v>97</x:v>
      </x:c>
      <x:c r="P307" s="21" t="n">
        <x:v>810</x:v>
      </x:c>
      <x:c r="Q307" s="21" t="n">
        <x:v>3</x:v>
      </x:c>
      <x:c r="R307" s="21" t="n">
        <x:v>1</x:v>
      </x:c>
      <x:c r="S307" s="17" t="str">
        <x:v>둔산동 두부두루치기 | 둔산동 칼국수</x:v>
      </x:c>
      <x:c r="T307" s="22" t="n">
        <x:v>36.3499346</x:v>
      </x:c>
      <x:c r="U307" s="22" t="n">
        <x:v>127.3883481</x:v>
      </x:c>
    </x:row>
    <x:row r="308" ht="32" customHeight="1">
      <x:c r="A308" s="18" t="str">
        <x:v>pending</x:v>
      </x:c>
      <x:c r="B308" s="18" t="str">
        <x:v>서구</x:v>
      </x:c>
      <x:c r="C308" s="17" t="str">
        <x:v>불타는쪽갈비 대전둔산본점</x:v>
      </x:c>
      <x:c r="D308" s="17" t="str">
        <x:v>한식&gt;육류,고기요리</x:v>
      </x:c>
      <x:c r="E308" s="19" t="n">
        <x:v>72</x:v>
      </x:c>
      <x:c r="F308" s="17" t="str">
        <x:v>지역성: 본점, 대전; 최근 12개월 블로그 100건</x:v>
      </x:c>
      <x:c r="G308" s="17" t="str">
        <x:v>대전광역시 서구 둔산동 981 갤러리타워</x:v>
      </x:c>
      <x:c r="H308" s="17" t="str">
        <x:v>대전광역시 서구 둔지로 36 갤러리타워</x:v>
      </x:c>
      <x:c r="I308" s="18" t="e">
        <x:f>HYPERLINK("https://search.naver.com/search.naver?where=blog&amp;query=%EB%B6%88%ED%83%80%EB%8A%94%EC%AA%BD%EA%B0%88%EB%B9%84+%EB%8C%80%EC%A0%84%EB%91%94%EC%82%B0%EB%B3%B8%EC%A0%90+%EC%84%9C%EA%B5%AC","블로그 보기")</x:f>
        <x:v>HYPERLINK is not implemented. linkLocation=https://search.naver.com/search.naver?where=blog&amp;query=%EB%B6%88%ED%83%80%EB%8A%94%EC%AA%BD%EA%B0%88%EB%B9%84+%EB%8C%80%EC%A0%84%EB%91%94%EC%82%B0%EB%B3%B8%EC%A0%90+%EC%84%9C%EA%B5%AC, friendlyName=블로그 보기</x:v>
      </x:c>
      <x:c r="J308" s="18" t="str"/>
      <x:c r="K308" s="18" t="str"/>
      <x:c r="L308" s="17" t="str"/>
      <x:c r="M308" s="20" t="n">
        <x:v>46222</x:v>
      </x:c>
      <x:c r="N308" s="21" t="n">
        <x:v>100</x:v>
      </x:c>
      <x:c r="O308" s="21" t="n">
        <x:v>91</x:v>
      </x:c>
      <x:c r="P308" s="21" t="n">
        <x:v>887</x:v>
      </x:c>
      <x:c r="Q308" s="21" t="n">
        <x:v>2</x:v>
      </x:c>
      <x:c r="R308" s="21" t="n">
        <x:v>2</x:v>
      </x:c>
      <x:c r="S308" s="17" t="str">
        <x:v>둔산동 중식 | 둔산동 칼국수</x:v>
      </x:c>
      <x:c r="T308" s="22" t="n">
        <x:v>36.3525597</x:v>
      </x:c>
      <x:c r="U308" s="22" t="n">
        <x:v>127.3769957</x:v>
      </x:c>
    </x:row>
    <x:row r="309" ht="32" customHeight="1">
      <x:c r="A309" s="18" t="str">
        <x:v>pending</x:v>
      </x:c>
      <x:c r="B309" s="18" t="str">
        <x:v>서구</x:v>
      </x:c>
      <x:c r="C309" s="17" t="str">
        <x:v>쪽갈비 본점</x:v>
      </x:c>
      <x:c r="D309" s="17" t="str">
        <x:v>한식&gt;육류,고기요리</x:v>
      </x:c>
      <x:c r="E309" s="19" t="n">
        <x:v>71</x:v>
      </x:c>
      <x:c r="F309" s="17" t="str">
        <x:v>지역성: 본점; 최근 12개월 블로그 100건</x:v>
      </x:c>
      <x:c r="G309" s="17" t="str">
        <x:v>대전광역시 서구 갈마동 1054 1층</x:v>
      </x:c>
      <x:c r="H309" s="17" t="str">
        <x:v>대전광역시 서구 대덕대로 157 1층</x:v>
      </x:c>
      <x:c r="I309" s="18" t="e">
        <x:f>HYPERLINK("https://search.naver.com/search.naver?where=blog&amp;query=%EC%AA%BD%EA%B0%88%EB%B9%84+%EB%B3%B8%EC%A0%90+%EC%84%9C%EA%B5%AC","블로그 보기")</x:f>
        <x:v>HYPERLINK is not implemented. linkLocation=https://search.naver.com/search.naver?where=blog&amp;query=%EC%AA%BD%EA%B0%88%EB%B9%84+%EB%B3%B8%EC%A0%90+%EC%84%9C%EA%B5%AC, friendlyName=블로그 보기</x:v>
      </x:c>
      <x:c r="J309" s="18" t="str"/>
      <x:c r="K309" s="18" t="str"/>
      <x:c r="L309" s="17" t="str"/>
      <x:c r="M309" s="20" t="n">
        <x:v>46217</x:v>
      </x:c>
      <x:c r="N309" s="21" t="n">
        <x:v>100</x:v>
      </x:c>
      <x:c r="O309" s="21" t="n">
        <x:v>93</x:v>
      </x:c>
      <x:c r="P309" s="21" t="n">
        <x:v>675</x:v>
      </x:c>
      <x:c r="Q309" s="21" t="n">
        <x:v>3</x:v>
      </x:c>
      <x:c r="R309" s="21" t="n">
        <x:v>2</x:v>
      </x:c>
      <x:c r="S309" s="17" t="str">
        <x:v>갈마동 냉면 | 갈마동 노포</x:v>
      </x:c>
      <x:c r="T309" s="22" t="n">
        <x:v>36.3476133</x:v>
      </x:c>
      <x:c r="U309" s="22" t="n">
        <x:v>127.3754548</x:v>
      </x:c>
    </x:row>
    <x:row r="310" ht="32" customHeight="1">
      <x:c r="A310" s="18" t="str">
        <x:v>pending</x:v>
      </x:c>
      <x:c r="B310" s="18" t="str">
        <x:v>서구</x:v>
      </x:c>
      <x:c r="C310" s="17" t="str">
        <x:v>공주칼국수</x:v>
      </x:c>
      <x:c r="D310" s="17" t="str">
        <x:v>한식&gt;칼국수,만두</x:v>
      </x:c>
      <x:c r="E310" s="19" t="n">
        <x:v>70</x:v>
      </x:c>
      <x:c r="F310" s="17" t="str">
        <x:v>지역성: 칼국수; 최근 12개월 블로그 100건</x:v>
      </x:c>
      <x:c r="G310" s="17" t="str">
        <x:v>대전광역시 서구 갈마동 379-18 1층</x:v>
      </x:c>
      <x:c r="H310" s="17" t="str">
        <x:v>대전광역시 서구 갈마로 72-1 1층</x:v>
      </x:c>
      <x:c r="I310" s="18" t="e">
        <x:f>HYPERLINK("https://search.naver.com/search.naver?where=blog&amp;query=%EA%B3%B5%EC%A3%BC%EC%B9%BC%EA%B5%AD%EC%88%98+%EC%84%9C%EA%B5%AC","블로그 보기")</x:f>
        <x:v>HYPERLINK is not implemented. linkLocation=https://search.naver.com/search.naver?where=blog&amp;query=%EA%B3%B5%EC%A3%BC%EC%B9%BC%EA%B5%AD%EC%88%98+%EC%84%9C%EA%B5%AC, friendlyName=블로그 보기</x:v>
      </x:c>
      <x:c r="J310" s="18" t="e">
        <x:f>HYPERLINK("https://youtube.com/shorts/23bLt9WcVMY?si=BN3fYX3dGgNAc8rN","업체 보기")</x:f>
        <x:v>HYPERLINK is not implemented. linkLocation=https://youtube.com/shorts/23bLt9WcVMY?si=BN3fYX3dGgNAc8rN, friendlyName=업체 보기</x:v>
      </x:c>
      <x:c r="K310" s="18" t="str"/>
      <x:c r="L310" s="17" t="str"/>
      <x:c r="M310" s="20" t="n">
        <x:v>46223</x:v>
      </x:c>
      <x:c r="N310" s="21" t="n">
        <x:v>100</x:v>
      </x:c>
      <x:c r="O310" s="21" t="n">
        <x:v>96</x:v>
      </x:c>
      <x:c r="P310" s="21" t="n">
        <x:v>3537</x:v>
      </x:c>
      <x:c r="Q310" s="21" t="n">
        <x:v>3</x:v>
      </x:c>
      <x:c r="R310" s="21" t="n">
        <x:v>1</x:v>
      </x:c>
      <x:c r="S310" s="17" t="str">
        <x:v>갈마동 두부두루치기 | 갈마동 칼국수</x:v>
      </x:c>
      <x:c r="T310" s="22" t="n">
        <x:v>36.345883</x:v>
      </x:c>
      <x:c r="U310" s="22" t="n">
        <x:v>127.3693028</x:v>
      </x:c>
    </x:row>
    <x:row r="311" ht="32" customHeight="1">
      <x:c r="A311" s="18" t="str">
        <x:v>pending</x:v>
      </x:c>
      <x:c r="B311" s="18" t="str">
        <x:v>서구</x:v>
      </x:c>
      <x:c r="C311" s="17" t="str">
        <x:v>별달돈까스 대전둔산점</x:v>
      </x:c>
      <x:c r="D311" s="17" t="str">
        <x:v>음식점&gt;일식&gt;돈가스</x:v>
      </x:c>
      <x:c r="E311" s="19" t="n">
        <x:v>69</x:v>
      </x:c>
      <x:c r="F311" s="17" t="str">
        <x:v>지역성: 대전; 최근 12개월 블로그 100건</x:v>
      </x:c>
      <x:c r="G311" s="17" t="str">
        <x:v>대전광역시 서구 둔산동 1056 2층</x:v>
      </x:c>
      <x:c r="H311" s="17" t="str">
        <x:v>대전광역시 서구 둔산로 30 2층</x:v>
      </x:c>
      <x:c r="I311" s="18" t="e">
        <x:f>HYPERLINK("https://search.naver.com/search.naver?where=blog&amp;query=%EB%B3%84%EB%8B%AC%EB%8F%88%EA%B9%8C%EC%8A%A4+%EB%8C%80%EC%A0%84%EB%91%94%EC%82%B0%EC%A0%90+%EC%84%9C%EA%B5%AC","블로그 보기")</x:f>
        <x:v>HYPERLINK is not implemented. linkLocation=https://search.naver.com/search.naver?where=blog&amp;query=%EB%B3%84%EB%8B%AC%EB%8F%88%EA%B9%8C%EC%8A%A4+%EB%8C%80%EC%A0%84%EB%91%94%EC%82%B0%EC%A0%90+%EC%84%9C%EA%B5%AC, friendlyName=블로그 보기</x:v>
      </x:c>
      <x:c r="J311" s="18" t="e">
        <x:f>HYPERLINK("https://blog.naver.com/starmooncaffe/223277382909","업체 보기")</x:f>
        <x:v>HYPERLINK is not implemented. linkLocation=https://blog.naver.com/starmooncaffe/223277382909, friendlyName=업체 보기</x:v>
      </x:c>
      <x:c r="K311" s="18" t="str"/>
      <x:c r="L311" s="17" t="str"/>
      <x:c r="M311" s="20" t="n">
        <x:v>46223</x:v>
      </x:c>
      <x:c r="N311" s="21" t="n">
        <x:v>100</x:v>
      </x:c>
      <x:c r="O311" s="21" t="n">
        <x:v>83</x:v>
      </x:c>
      <x:c r="P311" s="21" t="n">
        <x:v>4937</x:v>
      </x:c>
      <x:c r="Q311" s="21" t="n">
        <x:v>2</x:v>
      </x:c>
      <x:c r="R311" s="21" t="n">
        <x:v>2</x:v>
      </x:c>
      <x:c r="S311" s="17" t="str">
        <x:v>둔산동 맛집 | 둔산동 일식</x:v>
      </x:c>
      <x:c r="T311" s="22" t="n">
        <x:v>36.3515878</x:v>
      </x:c>
      <x:c r="U311" s="22" t="n">
        <x:v>127.3771612</x:v>
      </x:c>
    </x:row>
    <x:row r="312" ht="32" customHeight="1">
      <x:c r="A312" s="18" t="str">
        <x:v>pending</x:v>
      </x:c>
      <x:c r="B312" s="18" t="str">
        <x:v>서구</x:v>
      </x:c>
      <x:c r="C312" s="17" t="str">
        <x:v>갈비만 대전점</x:v>
      </x:c>
      <x:c r="D312" s="17" t="str">
        <x:v>한식&gt;육류,고기요리</x:v>
      </x:c>
      <x:c r="E312" s="19" t="n">
        <x:v>67</x:v>
      </x:c>
      <x:c r="F312" s="17" t="str">
        <x:v>지역성: 대전; 최근 12개월 블로그 100건</x:v>
      </x:c>
      <x:c r="G312" s="17" t="str">
        <x:v>대전광역시 서구 갈마동 291-14 1층</x:v>
      </x:c>
      <x:c r="H312" s="17" t="str">
        <x:v>대전광역시 서구 계룡로 338 1층</x:v>
      </x:c>
      <x:c r="I312" s="18" t="e">
        <x:f>HYPERLINK("https://search.naver.com/search.naver?where=blog&amp;query=%EA%B0%88%EB%B9%84%EB%A7%8C+%EB%8C%80%EC%A0%84%EC%A0%90+%EC%84%9C%EA%B5%AC","블로그 보기")</x:f>
        <x:v>HYPERLINK is not implemented. linkLocation=https://search.naver.com/search.naver?where=blog&amp;query=%EA%B0%88%EB%B9%84%EB%A7%8C+%EB%8C%80%EC%A0%84%EC%A0%90+%EC%84%9C%EA%B5%AC, friendlyName=블로그 보기</x:v>
      </x:c>
      <x:c r="J312" s="18" t="e">
        <x:f>HYPERLINK("https://app.catchtable.co.kr/ct/shop/galvimandaejeonbranch","업체 보기")</x:f>
        <x:v>HYPERLINK is not implemented. linkLocation=https://app.catchtable.co.kr/ct/shop/galvimandaejeonbranch, friendlyName=업체 보기</x:v>
      </x:c>
      <x:c r="K312" s="18" t="str"/>
      <x:c r="L312" s="17" t="str"/>
      <x:c r="M312" s="20" t="n">
        <x:v>46223</x:v>
      </x:c>
      <x:c r="N312" s="21" t="n">
        <x:v>100</x:v>
      </x:c>
      <x:c r="O312" s="21" t="n">
        <x:v>94</x:v>
      </x:c>
      <x:c r="P312" s="21" t="n">
        <x:v>254</x:v>
      </x:c>
      <x:c r="Q312" s="21" t="n">
        <x:v>3</x:v>
      </x:c>
      <x:c r="R312" s="21" t="n">
        <x:v>1</x:v>
      </x:c>
      <x:c r="S312" s="17" t="str">
        <x:v>갈마동 맛집 | 갈마동 한식</x:v>
      </x:c>
      <x:c r="T312" s="22" t="n">
        <x:v>36.3535724</x:v>
      </x:c>
      <x:c r="U312" s="22" t="n">
        <x:v>127.3664816</x:v>
      </x:c>
    </x:row>
    <x:row r="313" ht="32" customHeight="1">
      <x:c r="A313" s="18" t="str">
        <x:v>pending</x:v>
      </x:c>
      <x:c r="B313" s="18" t="str">
        <x:v>서구</x:v>
      </x:c>
      <x:c r="C313" s="17" t="str">
        <x:v>녹수청산 대전시청본점</x:v>
      </x:c>
      <x:c r="D313" s="17" t="str">
        <x:v>음식점&gt;한식</x:v>
      </x:c>
      <x:c r="E313" s="19" t="n">
        <x:v>67</x:v>
      </x:c>
      <x:c r="F313" s="17" t="str">
        <x:v>지역성: 본점, 대전; 최근 12개월 블로그 100건</x:v>
      </x:c>
      <x:c r="G313" s="17" t="str">
        <x:v>대전광역시 서구 둔산동 1210 2층</x:v>
      </x:c>
      <x:c r="H313" s="17" t="str">
        <x:v>대전광역시 서구 둔산로74번길 27 2층</x:v>
      </x:c>
      <x:c r="I313" s="18" t="e">
        <x:f>HYPERLINK("https://search.naver.com/search.naver?where=blog&amp;query=%EB%85%B9%EC%88%98%EC%B2%AD%EC%82%B0+%EB%8C%80%EC%A0%84%EC%8B%9C%EC%B2%AD%EB%B3%B8%EC%A0%90+%EC%84%9C%EA%B5%AC","블로그 보기")</x:f>
        <x:v>HYPERLINK is not implemented. linkLocation=https://search.naver.com/search.naver?where=blog&amp;query=%EB%85%B9%EC%88%98%EC%B2%AD%EC%82%B0+%EB%8C%80%EC%A0%84%EC%8B%9C%EC%B2%AD%EB%B3%B8%EC%A0%90+%EC%84%9C%EA%B5%AC, friendlyName=블로그 보기</x:v>
      </x:c>
      <x:c r="J313" s="18" t="str"/>
      <x:c r="K313" s="18" t="str"/>
      <x:c r="L313" s="17" t="str"/>
      <x:c r="M313" s="20" t="n">
        <x:v>46223</x:v>
      </x:c>
      <x:c r="N313" s="21" t="n">
        <x:v>100</x:v>
      </x:c>
      <x:c r="O313" s="21" t="n">
        <x:v>95</x:v>
      </x:c>
      <x:c r="P313" s="21" t="n">
        <x:v>5975</x:v>
      </x:c>
      <x:c r="Q313" s="21" t="n">
        <x:v>1</x:v>
      </x:c>
      <x:c r="R313" s="21" t="n">
        <x:v>1</x:v>
      </x:c>
      <x:c r="S313" s="17" t="str">
        <x:v>둔산동 삼계탕</x:v>
      </x:c>
      <x:c r="T313" s="22" t="n">
        <x:v>36.3500096</x:v>
      </x:c>
      <x:c r="U313" s="22" t="n">
        <x:v>127.3821965</x:v>
      </x:c>
    </x:row>
    <x:row r="314" ht="32" customHeight="1">
      <x:c r="A314" s="18" t="str">
        <x:v>pending</x:v>
      </x:c>
      <x:c r="B314" s="18" t="str">
        <x:v>서구</x:v>
      </x:c>
      <x:c r="C314" s="17" t="str">
        <x:v>산오징어비빔회양푼무침 대전본점</x:v>
      </x:c>
      <x:c r="D314" s="17" t="str">
        <x:v>음식점&gt;한식</x:v>
      </x:c>
      <x:c r="E314" s="19" t="n">
        <x:v>67</x:v>
      </x:c>
      <x:c r="F314" s="17" t="str">
        <x:v>지역성: 본점, 대전; 최근 12개월 블로그 100건</x:v>
      </x:c>
      <x:c r="G314" s="17" t="str">
        <x:v>대전광역시 서구 둔산동 1056</x:v>
      </x:c>
      <x:c r="H314" s="17" t="str">
        <x:v>대전광역시 서구 둔산로 30</x:v>
      </x:c>
      <x:c r="I314" s="18" t="e">
        <x:f>HYPERLINK("https://search.naver.com/search.naver?where=blog&amp;query=%EC%82%B0%EC%98%A4%EC%A7%95%EC%96%B4%EB%B9%84%EB%B9%94%ED%9A%8C%EC%96%91%ED%91%BC%EB%AC%B4%EC%B9%A8+%EB%8C%80%EC%A0%84%EB%B3%B8%EC%A0%90+%EC%84%9C%EA%B5%AC","블로그 보기")</x:f>
        <x:v>HYPERLINK is not implemented. linkLocation=https://search.naver.com/search.naver?where=blog&amp;query=%EC%82%B0%EC%98%A4%EC%A7%95%EC%96%B4%EB%B9%84%EB%B9%94%ED%9A%8C%EC%96%91%ED%91%BC%EB%AC%B4%EC%B9%A8+%EB%8C%80%EC%A0%84%EB%B3%B8%EC%A0%90+%EC%84%9C%EA%B5%AC, friendlyName=블로그 보기</x:v>
      </x:c>
      <x:c r="J314" s="18" t="str"/>
      <x:c r="K314" s="18" t="str"/>
      <x:c r="L314" s="17" t="str"/>
      <x:c r="M314" s="20" t="n">
        <x:v>46222</x:v>
      </x:c>
      <x:c r="N314" s="21" t="n">
        <x:v>100</x:v>
      </x:c>
      <x:c r="O314" s="21" t="n">
        <x:v>96</x:v>
      </x:c>
      <x:c r="P314" s="21" t="n">
        <x:v>2458</x:v>
      </x:c>
      <x:c r="Q314" s="21" t="n">
        <x:v>1</x:v>
      </x:c>
      <x:c r="R314" s="21" t="n">
        <x:v>1</x:v>
      </x:c>
      <x:c r="S314" s="17" t="str">
        <x:v>둔산동 노포</x:v>
      </x:c>
      <x:c r="T314" s="22" t="n">
        <x:v>36.3514494</x:v>
      </x:c>
      <x:c r="U314" s="22" t="n">
        <x:v>127.3770912</x:v>
      </x:c>
    </x:row>
    <x:row r="315" ht="32" customHeight="1">
      <x:c r="A315" s="18" t="str">
        <x:v>pending</x:v>
      </x:c>
      <x:c r="B315" s="18" t="str">
        <x:v>서구</x:v>
      </x:c>
      <x:c r="C315" s="17" t="str">
        <x:v>24시순대족발 본점</x:v>
      </x:c>
      <x:c r="D315" s="17" t="str">
        <x:v>한식&gt;순대,순댓국</x:v>
      </x:c>
      <x:c r="E315" s="19" t="n">
        <x:v>66</x:v>
      </x:c>
      <x:c r="F315" s="17" t="str">
        <x:v>지역성: 본점; 최근 12개월 블로그 100건</x:v>
      </x:c>
      <x:c r="G315" s="17" t="str">
        <x:v>대전광역시 서구 갈마동 379-8</x:v>
      </x:c>
      <x:c r="H315" s="17" t="str">
        <x:v>대전광역시 서구 갈마로 82</x:v>
      </x:c>
      <x:c r="I315" s="18" t="e">
        <x:f>HYPERLINK("https://search.naver.com/search.naver?where=blog&amp;query=24%EC%8B%9C%EC%88%9C%EB%8C%80%EC%A1%B1%EB%B0%9C+%EB%B3%B8%EC%A0%90+%EC%84%9C%EA%B5%AC","블로그 보기")</x:f>
        <x:v>HYPERLINK is not implemented. linkLocation=https://search.naver.com/search.naver?where=blog&amp;query=24%EC%8B%9C%EC%88%9C%EB%8C%80%EC%A1%B1%EB%B0%9C+%EB%B3%B8%EC%A0%90+%EC%84%9C%EA%B5%AC, friendlyName=블로그 보기</x:v>
      </x:c>
      <x:c r="J315" s="18" t="str"/>
      <x:c r="K315" s="18" t="str"/>
      <x:c r="L315" s="17" t="str"/>
      <x:c r="M315" s="20" t="n">
        <x:v>46222</x:v>
      </x:c>
      <x:c r="N315" s="21" t="n">
        <x:v>100</x:v>
      </x:c>
      <x:c r="O315" s="21" t="n">
        <x:v>92</x:v>
      </x:c>
      <x:c r="P315" s="21" t="n">
        <x:v>2563</x:v>
      </x:c>
      <x:c r="Q315" s="21" t="n">
        <x:v>2</x:v>
      </x:c>
      <x:c r="R315" s="21" t="n">
        <x:v>1</x:v>
      </x:c>
      <x:c r="S315" s="17" t="str">
        <x:v>갈마동 국밥</x:v>
      </x:c>
      <x:c r="T315" s="22" t="n">
        <x:v>36.3450656</x:v>
      </x:c>
      <x:c r="U315" s="22" t="n">
        <x:v>127.369376</x:v>
      </x:c>
    </x:row>
    <x:row r="316" ht="32" customHeight="1">
      <x:c r="A316" s="18" t="str">
        <x:v>pending</x:v>
      </x:c>
      <x:c r="B316" s="18" t="str">
        <x:v>서구</x:v>
      </x:c>
      <x:c r="C316" s="17" t="str">
        <x:v>가마솥보은순대</x:v>
      </x:c>
      <x:c r="D316" s="17" t="str">
        <x:v>한식&gt;순대,순댓국</x:v>
      </x:c>
      <x:c r="E316" s="19" t="n">
        <x:v>66</x:v>
      </x:c>
      <x:c r="F316" s="17" t="str">
        <x:v>최근 12개월 블로그 100건</x:v>
      </x:c>
      <x:c r="G316" s="17" t="str">
        <x:v>대전광역시 서구 갈마동 432-6 인터빌아파트</x:v>
      </x:c>
      <x:c r="H316" s="17" t="str">
        <x:v>대전광역시 서구 신갈마로 58-17 인터빌아파트</x:v>
      </x:c>
      <x:c r="I316" s="18" t="e">
        <x:f>HYPERLINK("https://search.naver.com/search.naver?where=blog&amp;query=%EA%B0%80%EB%A7%88%EC%86%A5%EB%B3%B4%EC%9D%80%EC%88%9C%EB%8C%80+%EC%84%9C%EA%B5%AC","블로그 보기")</x:f>
        <x:v>HYPERLINK is not implemented. linkLocation=https://search.naver.com/search.naver?where=blog&amp;query=%EA%B0%80%EB%A7%88%EC%86%A5%EB%B3%B4%EC%9D%80%EC%88%9C%EB%8C%80+%EC%84%9C%EA%B5%AC, friendlyName=블로그 보기</x:v>
      </x:c>
      <x:c r="J316" s="18" t="str"/>
      <x:c r="K316" s="18" t="str"/>
      <x:c r="L316" s="17" t="str"/>
      <x:c r="M316" s="20" t="n">
        <x:v>46221</x:v>
      </x:c>
      <x:c r="N316" s="21" t="n">
        <x:v>100</x:v>
      </x:c>
      <x:c r="O316" s="21" t="n">
        <x:v>89</x:v>
      </x:c>
      <x:c r="P316" s="21" t="n">
        <x:v>487</x:v>
      </x:c>
      <x:c r="Q316" s="21" t="n">
        <x:v>3</x:v>
      </x:c>
      <x:c r="R316" s="21" t="n">
        <x:v>2</x:v>
      </x:c>
      <x:c r="S316" s="17" t="str">
        <x:v>갈마동 국밥 | 갈마동 한식</x:v>
      </x:c>
      <x:c r="T316" s="22" t="n">
        <x:v>36.3397753</x:v>
      </x:c>
      <x:c r="U316" s="22" t="n">
        <x:v>127.366717</x:v>
      </x:c>
    </x:row>
    <x:row r="317" ht="32" customHeight="1">
      <x:c r="A317" s="18" t="str">
        <x:v>pending</x:v>
      </x:c>
      <x:c r="B317" s="18" t="str">
        <x:v>서구</x:v>
      </x:c>
      <x:c r="C317" s="17" t="str">
        <x:v>토종골옻닭마을 대전본점</x:v>
      </x:c>
      <x:c r="D317" s="17" t="str">
        <x:v>한식&gt;닭요리</x:v>
      </x:c>
      <x:c r="E317" s="19" t="n">
        <x:v>66</x:v>
      </x:c>
      <x:c r="F317" s="17" t="str">
        <x:v>지역성: 본점, 대전; 최근 12개월 블로그 13건</x:v>
      </x:c>
      <x:c r="G317" s="17" t="str">
        <x:v>대전광역시 서구 갈마동 905</x:v>
      </x:c>
      <x:c r="H317" s="17" t="str">
        <x:v>대전광역시 서구 갈마역로 3</x:v>
      </x:c>
      <x:c r="I317" s="18" t="e">
        <x:f>HYPERLINK("https://search.naver.com/search.naver?where=blog&amp;query=%ED%86%A0%EC%A2%85%EA%B3%A8%EC%98%BB%EB%8B%AD%EB%A7%88%EC%9D%84+%EB%8C%80%EC%A0%84%EB%B3%B8%EC%A0%90+%EC%84%9C%EA%B5%AC","블로그 보기")</x:f>
        <x:v>HYPERLINK is not implemented. linkLocation=https://search.naver.com/search.naver?where=blog&amp;query=%ED%86%A0%EC%A2%85%EA%B3%A8%EC%98%BB%EB%8B%AD%EB%A7%88%EC%9D%84+%EB%8C%80%EC%A0%84%EB%B3%B8%EC%A0%90+%EC%84%9C%EA%B5%AC, friendlyName=블로그 보기</x:v>
      </x:c>
      <x:c r="J317" s="18" t="str"/>
      <x:c r="K317" s="18" t="str"/>
      <x:c r="L317" s="17" t="str"/>
      <x:c r="M317" s="20" t="n">
        <x:v>46077</x:v>
      </x:c>
      <x:c r="N317" s="21" t="n">
        <x:v>13</x:v>
      </x:c>
      <x:c r="O317" s="21" t="n">
        <x:v>64</x:v>
      </x:c>
      <x:c r="P317" s="21" t="n">
        <x:v>86</x:v>
      </x:c>
      <x:c r="Q317" s="21" t="n">
        <x:v>2</x:v>
      </x:c>
      <x:c r="R317" s="21" t="n">
        <x:v>1</x:v>
      </x:c>
      <x:c r="S317" s="17" t="str">
        <x:v>갈마동 삼계탕</x:v>
      </x:c>
      <x:c r="T317" s="22" t="n">
        <x:v>36.3510441</x:v>
      </x:c>
      <x:c r="U317" s="22" t="n">
        <x:v>127.3732126</x:v>
      </x:c>
    </x:row>
    <x:row r="318" ht="32" customHeight="1">
      <x:c r="A318" s="18" t="str">
        <x:v>pending</x:v>
      </x:c>
      <x:c r="B318" s="18" t="str">
        <x:v>서구</x:v>
      </x:c>
      <x:c r="C318" s="17" t="str">
        <x:v>유원옥</x:v>
      </x:c>
      <x:c r="D318" s="17" t="str">
        <x:v>음식점&gt;한식</x:v>
      </x:c>
      <x:c r="E318" s="19" t="n">
        <x:v>65</x:v>
      </x:c>
      <x:c r="F318" s="17" t="str">
        <x:v>최근 12개월 블로그 43건</x:v>
      </x:c>
      <x:c r="G318" s="17" t="str">
        <x:v>대전광역시 서구 둔산동 1391 104호 유원옥</x:v>
      </x:c>
      <x:c r="H318" s="17" t="str">
        <x:v>대전광역시 서구 둔산로137번길 44 104호 유원옥</x:v>
      </x:c>
      <x:c r="I318" s="18" t="e">
        <x:f>HYPERLINK("https://search.naver.com/search.naver?where=blog&amp;query=%EC%9C%A0%EC%9B%90%EC%98%A5+%EC%84%9C%EA%B5%AC","블로그 보기")</x:f>
        <x:v>HYPERLINK is not implemented. linkLocation=https://search.naver.com/search.naver?where=blog&amp;query=%EC%9C%A0%EC%9B%90%EC%98%A5+%EC%84%9C%EA%B5%AC, friendlyName=블로그 보기</x:v>
      </x:c>
      <x:c r="J318" s="18" t="str"/>
      <x:c r="K318" s="18" t="str"/>
      <x:c r="L318" s="17" t="str"/>
      <x:c r="M318" s="20" t="n">
        <x:v>46188</x:v>
      </x:c>
      <x:c r="N318" s="21" t="n">
        <x:v>43</x:v>
      </x:c>
      <x:c r="O318" s="21" t="n">
        <x:v>96</x:v>
      </x:c>
      <x:c r="P318" s="21" t="n">
        <x:v>395</x:v>
      </x:c>
      <x:c r="Q318" s="21" t="n">
        <x:v>3</x:v>
      </x:c>
      <x:c r="R318" s="21" t="n">
        <x:v>2</x:v>
      </x:c>
      <x:c r="S318" s="17" t="str">
        <x:v>둔산동 국밥 | 둔산동 냉면 | 둔산동 해산물</x:v>
      </x:c>
      <x:c r="T318" s="22" t="n">
        <x:v>36.3531611</x:v>
      </x:c>
      <x:c r="U318" s="22" t="n">
        <x:v>127.3895409</x:v>
      </x:c>
    </x:row>
    <x:row r="319" ht="32" customHeight="1">
      <x:c r="A319" s="18" t="str">
        <x:v>pending</x:v>
      </x:c>
      <x:c r="B319" s="18" t="str">
        <x:v>서구</x:v>
      </x:c>
      <x:c r="C319" s="17" t="str">
        <x:v>태평소국밥</x:v>
      </x:c>
      <x:c r="D319" s="17" t="str">
        <x:v>한식&gt;국밥</x:v>
      </x:c>
      <x:c r="E319" s="19" t="n">
        <x:v>65</x:v>
      </x:c>
      <x:c r="F319" s="17" t="str">
        <x:v>최근 12개월 블로그 100건</x:v>
      </x:c>
      <x:c r="G319" s="17" t="str">
        <x:v>대전광역시 서구 갈마동 337-5</x:v>
      </x:c>
      <x:c r="H319" s="17" t="str">
        <x:v>대전광역시 서구 신갈마로 179</x:v>
      </x:c>
      <x:c r="I319" s="18" t="e">
        <x:f>HYPERLINK("https://search.naver.com/search.naver?where=blog&amp;query=%ED%83%9C%ED%8F%89%EC%86%8C%EA%B5%AD%EB%B0%A5+%EC%84%9C%EA%B5%AC","블로그 보기")</x:f>
        <x:v>HYPERLINK is not implemented. linkLocation=https://search.naver.com/search.naver?where=blog&amp;query=%ED%83%9C%ED%8F%89%EC%86%8C%EA%B5%AD%EB%B0%A5+%EC%84%9C%EA%B5%AC, friendlyName=블로그 보기</x:v>
      </x:c>
      <x:c r="J319" s="18" t="str"/>
      <x:c r="K319" s="18" t="str"/>
      <x:c r="L319" s="17" t="str"/>
      <x:c r="M319" s="20" t="n">
        <x:v>46222</x:v>
      </x:c>
      <x:c r="N319" s="21" t="n">
        <x:v>100</x:v>
      </x:c>
      <x:c r="O319" s="21" t="n">
        <x:v>98</x:v>
      </x:c>
      <x:c r="P319" s="21" t="n">
        <x:v>3227</x:v>
      </x:c>
      <x:c r="Q319" s="21" t="n">
        <x:v>3</x:v>
      </x:c>
      <x:c r="R319" s="21" t="n">
        <x:v>1</x:v>
      </x:c>
      <x:c r="S319" s="17" t="str">
        <x:v>갈마동 국밥 | 갈마동 한식</x:v>
      </x:c>
      <x:c r="T319" s="22" t="n">
        <x:v>36.3497223</x:v>
      </x:c>
      <x:c r="U319" s="22" t="n">
        <x:v>127.3680321</x:v>
      </x:c>
    </x:row>
    <x:row r="320" ht="32" customHeight="1">
      <x:c r="A320" s="18" t="str">
        <x:v>pending</x:v>
      </x:c>
      <x:c r="B320" s="18" t="str">
        <x:v>서구</x:v>
      </x:c>
      <x:c r="C320" s="17" t="str">
        <x:v>떡반집 본점</x:v>
      </x:c>
      <x:c r="D320" s="17" t="str">
        <x:v>분식&gt;종합분식</x:v>
      </x:c>
      <x:c r="E320" s="19" t="n">
        <x:v>64</x:v>
      </x:c>
      <x:c r="F320" s="17" t="str">
        <x:v>지역성: 본점; 최근 12개월 블로그 100건</x:v>
      </x:c>
      <x:c r="G320" s="17" t="str">
        <x:v>대전광역시 서구 둔산동 1091 밀레니엄프라자 1층 109호</x:v>
      </x:c>
      <x:c r="H320" s="17" t="str">
        <x:v>대전광역시 서구 둔산로 8 밀레니엄프라자 1층 109호</x:v>
      </x:c>
      <x:c r="I320" s="18" t="e">
        <x:f>HYPERLINK("https://search.naver.com/search.naver?where=blog&amp;query=%EB%96%A1%EB%B0%98%EC%A7%91+%EB%B3%B8%EC%A0%90+%EC%84%9C%EA%B5%AC","블로그 보기")</x:f>
        <x:v>HYPERLINK is not implemented. linkLocation=https://search.naver.com/search.naver?where=blog&amp;query=%EB%96%A1%EB%B0%98%EC%A7%91+%EB%B3%B8%EC%A0%90+%EC%84%9C%EA%B5%AC, friendlyName=블로그 보기</x:v>
      </x:c>
      <x:c r="J320" s="18" t="str"/>
      <x:c r="K320" s="18" t="str"/>
      <x:c r="L320" s="17" t="str"/>
      <x:c r="M320" s="20" t="n">
        <x:v>46223</x:v>
      </x:c>
      <x:c r="N320" s="21" t="n">
        <x:v>100</x:v>
      </x:c>
      <x:c r="O320" s="21" t="n">
        <x:v>96</x:v>
      </x:c>
      <x:c r="P320" s="21" t="n">
        <x:v>666</x:v>
      </x:c>
      <x:c r="Q320" s="21" t="n">
        <x:v>2</x:v>
      </x:c>
      <x:c r="R320" s="21" t="n">
        <x:v>1</x:v>
      </x:c>
      <x:c r="S320" s="17" t="str">
        <x:v>둔산동 분식</x:v>
      </x:c>
      <x:c r="T320" s="22" t="n">
        <x:v>36.3522508</x:v>
      </x:c>
      <x:c r="U320" s="22" t="n">
        <x:v>127.3749865</x:v>
      </x:c>
    </x:row>
    <x:row r="321" ht="32" customHeight="1">
      <x:c r="A321" s="18" t="str">
        <x:v>pending</x:v>
      </x:c>
      <x:c r="B321" s="18" t="str">
        <x:v>서구</x:v>
      </x:c>
      <x:c r="C321" s="17" t="str">
        <x:v>사리원 본점</x:v>
      </x:c>
      <x:c r="D321" s="17" t="str">
        <x:v>한식&gt;냉면</x:v>
      </x:c>
      <x:c r="E321" s="19" t="n">
        <x:v>64</x:v>
      </x:c>
      <x:c r="F321" s="17" t="str">
        <x:v>지역성: 본점; 최근 12개월 블로그 100건</x:v>
      </x:c>
      <x:c r="G321" s="17" t="str">
        <x:v>대전광역시 서구 둔산동 968 사리원 2층</x:v>
      </x:c>
      <x:c r="H321" s="17" t="str">
        <x:v>대전광역시 서구 둔산로31번길 77 사리원 2층</x:v>
      </x:c>
      <x:c r="I321" s="18" t="e">
        <x:f>HYPERLINK("https://search.naver.com/search.naver?where=blog&amp;query=%EC%82%AC%EB%A6%AC%EC%9B%90+%EB%B3%B8%EC%A0%90+%EC%84%9C%EA%B5%AC","블로그 보기")</x:f>
        <x:v>HYPERLINK is not implemented. linkLocation=https://search.naver.com/search.naver?where=blog&amp;query=%EC%82%AC%EB%A6%AC%EC%9B%90+%EB%B3%B8%EC%A0%90+%EC%84%9C%EA%B5%AC, friendlyName=블로그 보기</x:v>
      </x:c>
      <x:c r="J321" s="18" t="e">
        <x:f>HYPERLINK("http://www.sariwonkorea.com","업체 보기")</x:f>
        <x:v>HYPERLINK is not implemented. linkLocation=http://www.sariwonkorea.com, friendlyName=업체 보기</x:v>
      </x:c>
      <x:c r="K321" s="18" t="str"/>
      <x:c r="L321" s="17" t="str"/>
      <x:c r="M321" s="20" t="n">
        <x:v>46222</x:v>
      </x:c>
      <x:c r="N321" s="21" t="n">
        <x:v>100</x:v>
      </x:c>
      <x:c r="O321" s="21" t="n">
        <x:v>83</x:v>
      </x:c>
      <x:c r="P321" s="21" t="n">
        <x:v>688</x:v>
      </x:c>
      <x:c r="Q321" s="21" t="n">
        <x:v>2</x:v>
      </x:c>
      <x:c r="R321" s="21" t="n">
        <x:v>1</x:v>
      </x:c>
      <x:c r="S321" s="17" t="str">
        <x:v>둔산동 냉면</x:v>
      </x:c>
      <x:c r="T321" s="22" t="n">
        <x:v>36.3553562</x:v>
      </x:c>
      <x:c r="U321" s="22" t="n">
        <x:v>127.3773137</x:v>
      </x:c>
    </x:row>
    <x:row r="322" ht="32" customHeight="1">
      <x:c r="A322" s="18" t="str">
        <x:v>pending</x:v>
      </x:c>
      <x:c r="B322" s="18" t="str">
        <x:v>서구</x:v>
      </x:c>
      <x:c r="C322" s="17" t="str">
        <x:v>글로벌살수</x:v>
      </x:c>
      <x:c r="D322" s="17" t="str">
        <x:v>한식&gt;향토음식</x:v>
      </x:c>
      <x:c r="E322" s="19" t="n">
        <x:v>63</x:v>
      </x:c>
      <x:c r="F322" s="17" t="str">
        <x:v>지역성: 향토; 최근 12개월 블로그 70건</x:v>
      </x:c>
      <x:c r="G322" s="17" t="str">
        <x:v>대전광역시 서구 월평동 1180 505</x:v>
      </x:c>
      <x:c r="H322" s="17" t="str">
        <x:v>대전광역시 서구 월평서로 11 505</x:v>
      </x:c>
      <x:c r="I322" s="18" t="e">
        <x:f>HYPERLINK("https://search.naver.com/search.naver?where=blog&amp;query=%EA%B8%80%EB%A1%9C%EB%B2%8C%EC%82%B4%EC%88%98+%EC%84%9C%EA%B5%AC","블로그 보기")</x:f>
        <x:v>HYPERLINK is not implemented. linkLocation=https://search.naver.com/search.naver?where=blog&amp;query=%EA%B8%80%EB%A1%9C%EB%B2%8C%EC%82%B4%EC%88%98+%EC%84%9C%EA%B5%AC, friendlyName=블로그 보기</x:v>
      </x:c>
      <x:c r="J322" s="18" t="str"/>
      <x:c r="K322" s="18" t="str"/>
      <x:c r="L322" s="17" t="str"/>
      <x:c r="M322" s="20" t="n">
        <x:v>46220</x:v>
      </x:c>
      <x:c r="N322" s="21" t="n">
        <x:v>70</x:v>
      </x:c>
      <x:c r="O322" s="21" t="n">
        <x:v>88</x:v>
      </x:c>
      <x:c r="P322" s="21" t="n">
        <x:v>415</x:v>
      </x:c>
      <x:c r="Q322" s="21" t="n">
        <x:v>2</x:v>
      </x:c>
      <x:c r="R322" s="21" t="n">
        <x:v>1</x:v>
      </x:c>
      <x:c r="S322" s="17" t="str">
        <x:v>갈마동 향토음식</x:v>
      </x:c>
      <x:c r="T322" s="22" t="n">
        <x:v>36.3545358</x:v>
      </x:c>
      <x:c r="U322" s="22" t="n">
        <x:v>127.357663</x:v>
      </x:c>
    </x:row>
    <x:row r="323" ht="32" customHeight="1">
      <x:c r="A323" s="18" t="str">
        <x:v>pending</x:v>
      </x:c>
      <x:c r="B323" s="18" t="str">
        <x:v>서구</x:v>
      </x:c>
      <x:c r="C323" s="17" t="str">
        <x:v>둔산공주칼국수</x:v>
      </x:c>
      <x:c r="D323" s="17" t="str">
        <x:v>한식&gt;칼국수,만두</x:v>
      </x:c>
      <x:c r="E323" s="19" t="n">
        <x:v>62</x:v>
      </x:c>
      <x:c r="F323" s="17" t="str">
        <x:v>지역성: 칼국수; 최근 12개월 블로그 56건</x:v>
      </x:c>
      <x:c r="G323" s="17" t="str">
        <x:v>대전광역시 서구 둔산동 963 대영프라자 132호</x:v>
      </x:c>
      <x:c r="H323" s="17" t="str">
        <x:v>대전광역시 서구 둔산북로 36 대영프라자 132호</x:v>
      </x:c>
      <x:c r="I323" s="18" t="e">
        <x:f>HYPERLINK("https://search.naver.com/search.naver?where=blog&amp;query=%EB%91%94%EC%82%B0%EA%B3%B5%EC%A3%BC%EC%B9%BC%EA%B5%AD%EC%88%98+%EC%84%9C%EA%B5%AC","블로그 보기")</x:f>
        <x:v>HYPERLINK is not implemented. linkLocation=https://search.naver.com/search.naver?where=blog&amp;query=%EB%91%94%EC%82%B0%EA%B3%B5%EC%A3%BC%EC%B9%BC%EA%B5%AD%EC%88%98+%EC%84%9C%EA%B5%AC, friendlyName=블로그 보기</x:v>
      </x:c>
      <x:c r="J323" s="18" t="str"/>
      <x:c r="K323" s="18" t="str"/>
      <x:c r="L323" s="17" t="str"/>
      <x:c r="M323" s="20" t="n">
        <x:v>46216</x:v>
      </x:c>
      <x:c r="N323" s="21" t="n">
        <x:v>56</x:v>
      </x:c>
      <x:c r="O323" s="21" t="n">
        <x:v>91</x:v>
      </x:c>
      <x:c r="P323" s="21" t="n">
        <x:v>173</x:v>
      </x:c>
      <x:c r="Q323" s="21" t="n">
        <x:v>2</x:v>
      </x:c>
      <x:c r="R323" s="21" t="n">
        <x:v>1</x:v>
      </x:c>
      <x:c r="S323" s="17" t="str">
        <x:v>둔산동 두부두루치기</x:v>
      </x:c>
      <x:c r="T323" s="22" t="n">
        <x:v>36.3553</x:v>
      </x:c>
      <x:c r="U323" s="22" t="n">
        <x:v>127.3781292</x:v>
      </x:c>
    </x:row>
    <x:row r="324" ht="32" customHeight="1">
      <x:c r="A324" s="18" t="str">
        <x:v>pending</x:v>
      </x:c>
      <x:c r="B324" s="18" t="str">
        <x:v>서구</x:v>
      </x:c>
      <x:c r="C324" s="17" t="str">
        <x:v>우리손칼국수</x:v>
      </x:c>
      <x:c r="D324" s="17" t="str">
        <x:v>한식&gt;칼국수,만두</x:v>
      </x:c>
      <x:c r="E324" s="19" t="n">
        <x:v>62</x:v>
      </x:c>
      <x:c r="F324" s="17" t="str">
        <x:v>지역성: 칼국수; 최근 12개월 블로그 22건</x:v>
      </x:c>
      <x:c r="G324" s="17" t="str">
        <x:v>대전광역시 서구 둔산동 1199 1층</x:v>
      </x:c>
      <x:c r="H324" s="17" t="str">
        <x:v>대전광역시 서구 둔산남로9번길 37 1층</x:v>
      </x:c>
      <x:c r="I324" s="18" t="e">
        <x:f>HYPERLINK("https://search.naver.com/search.naver?where=blog&amp;query=%EC%9A%B0%EB%A6%AC%EC%86%90%EC%B9%BC%EA%B5%AD%EC%88%98+%EC%84%9C%EA%B5%AC","블로그 보기")</x:f>
        <x:v>HYPERLINK is not implemented. linkLocation=https://search.naver.com/search.naver?where=blog&amp;query=%EC%9A%B0%EB%A6%AC%EC%86%90%EC%B9%BC%EA%B5%AD%EC%88%98+%EC%84%9C%EA%B5%AC, friendlyName=블로그 보기</x:v>
      </x:c>
      <x:c r="J324" s="18" t="str"/>
      <x:c r="K324" s="18" t="str"/>
      <x:c r="L324" s="17" t="str"/>
      <x:c r="M324" s="20" t="n">
        <x:v>46197</x:v>
      </x:c>
      <x:c r="N324" s="21" t="n">
        <x:v>22</x:v>
      </x:c>
      <x:c r="O324" s="21" t="n">
        <x:v>93</x:v>
      </x:c>
      <x:c r="P324" s="21" t="n">
        <x:v>108</x:v>
      </x:c>
      <x:c r="Q324" s="21" t="n">
        <x:v>2</x:v>
      </x:c>
      <x:c r="R324" s="21" t="n">
        <x:v>1</x:v>
      </x:c>
      <x:c r="S324" s="17" t="str">
        <x:v>둔산동 두부두루치기</x:v>
      </x:c>
      <x:c r="T324" s="22" t="n">
        <x:v>36.3497103</x:v>
      </x:c>
      <x:c r="U324" s="22" t="n">
        <x:v>127.37842</x:v>
      </x:c>
    </x:row>
    <x:row r="325" ht="32" customHeight="1">
      <x:c r="A325" s="18" t="str">
        <x:v>pending</x:v>
      </x:c>
      <x:c r="B325" s="18" t="str">
        <x:v>서구</x:v>
      </x:c>
      <x:c r="C325" s="17" t="str">
        <x:v>이태리국시 대전</x:v>
      </x:c>
      <x:c r="D325" s="17" t="str">
        <x:v>음식점&gt;양식</x:v>
      </x:c>
      <x:c r="E325" s="19" t="n">
        <x:v>62</x:v>
      </x:c>
      <x:c r="F325" s="17" t="str">
        <x:v>지역성: 대전; 최근 12개월 블로그 100건</x:v>
      </x:c>
      <x:c r="G325" s="17" t="str">
        <x:v>대전광역시 서구 둔산동 990 2층</x:v>
      </x:c>
      <x:c r="H325" s="17" t="str">
        <x:v>대전광역시 서구 둔산로31번길 31 2층</x:v>
      </x:c>
      <x:c r="I325" s="18" t="e">
        <x:f>HYPERLINK("https://search.naver.com/search.naver?where=blog&amp;query=%EC%9D%B4%ED%83%9C%EB%A6%AC%EA%B5%AD%EC%8B%9C+%EB%8C%80%EC%A0%84+%EC%84%9C%EA%B5%AC","블로그 보기")</x:f>
        <x:v>HYPERLINK is not implemented. linkLocation=https://search.naver.com/search.naver?where=blog&amp;query=%EC%9D%B4%ED%83%9C%EB%A6%AC%EA%B5%AD%EC%8B%9C+%EB%8C%80%EC%A0%84+%EC%84%9C%EA%B5%AC, friendlyName=블로그 보기</x:v>
      </x:c>
      <x:c r="J325" s="18" t="e">
        <x:f>HYPERLINK("https://www.instagram.com/italyguksi","업체 보기")</x:f>
        <x:v>HYPERLINK is not implemented. linkLocation=https://www.instagram.com/italyguksi, friendlyName=업체 보기</x:v>
      </x:c>
      <x:c r="K325" s="18" t="str"/>
      <x:c r="L325" s="17" t="str"/>
      <x:c r="M325" s="20" t="n">
        <x:v>46220</x:v>
      </x:c>
      <x:c r="N325" s="21" t="n">
        <x:v>100</x:v>
      </x:c>
      <x:c r="O325" s="21" t="n">
        <x:v>97</x:v>
      </x:c>
      <x:c r="P325" s="21" t="n">
        <x:v>2928</x:v>
      </x:c>
      <x:c r="Q325" s="21" t="n">
        <x:v>1</x:v>
      </x:c>
      <x:c r="R325" s="21" t="n">
        <x:v>1</x:v>
      </x:c>
      <x:c r="S325" s="17" t="str">
        <x:v>둔산동 맛집</x:v>
      </x:c>
      <x:c r="T325" s="22" t="n">
        <x:v>36.3531348</x:v>
      </x:c>
      <x:c r="U325" s="22" t="n">
        <x:v>127.3772877</x:v>
      </x:c>
    </x:row>
    <x:row r="326" ht="32" customHeight="1">
      <x:c r="A326" s="18" t="str">
        <x:v>pending</x:v>
      </x:c>
      <x:c r="B326" s="18" t="str">
        <x:v>서구</x:v>
      </x:c>
      <x:c r="C326" s="17" t="str">
        <x:v>홍두깨생칼국수</x:v>
      </x:c>
      <x:c r="D326" s="17" t="str">
        <x:v>한식&gt;칼국수,만두</x:v>
      </x:c>
      <x:c r="E326" s="19" t="n">
        <x:v>62</x:v>
      </x:c>
      <x:c r="F326" s="17" t="str">
        <x:v>지역성: 칼국수; 최근 12개월 블로그 6건</x:v>
      </x:c>
      <x:c r="G326" s="17" t="str">
        <x:v>대전광역시 서구 갈마동 427-49</x:v>
      </x:c>
      <x:c r="H326" s="17" t="str">
        <x:v>대전광역시 서구 신갈마로127번길 153</x:v>
      </x:c>
      <x:c r="I326" s="18" t="e">
        <x:f>HYPERLINK("https://search.naver.com/search.naver?where=blog&amp;query=%ED%99%8D%EB%91%90%EA%B9%A8%EC%83%9D%EC%B9%BC%EA%B5%AD%EC%88%98+%EC%84%9C%EA%B5%AC","블로그 보기")</x:f>
        <x:v>HYPERLINK is not implemented. linkLocation=https://search.naver.com/search.naver?where=blog&amp;query=%ED%99%8D%EB%91%90%EA%B9%A8%EC%83%9D%EC%B9%BC%EA%B5%AD%EC%88%98+%EC%84%9C%EA%B5%AC, friendlyName=블로그 보기</x:v>
      </x:c>
      <x:c r="J326" s="18" t="str"/>
      <x:c r="K326" s="18" t="str"/>
      <x:c r="L326" s="17" t="str"/>
      <x:c r="M326" s="20" t="n">
        <x:v>46186</x:v>
      </x:c>
      <x:c r="N326" s="21" t="n">
        <x:v>6</x:v>
      </x:c>
      <x:c r="O326" s="21" t="n">
        <x:v>54</x:v>
      </x:c>
      <x:c r="P326" s="21" t="n">
        <x:v>57</x:v>
      </x:c>
      <x:c r="Q326" s="21" t="n">
        <x:v>3</x:v>
      </x:c>
      <x:c r="R326" s="21" t="n">
        <x:v>1</x:v>
      </x:c>
      <x:c r="S326" s="17" t="str">
        <x:v>갈마동 두부두루치기 | 갈마동 칼국수</x:v>
      </x:c>
      <x:c r="T326" s="22" t="n">
        <x:v>36.3401027</x:v>
      </x:c>
      <x:c r="U326" s="22" t="n">
        <x:v>127.3661118</x:v>
      </x:c>
    </x:row>
    <x:row r="327" ht="32" customHeight="1">
      <x:c r="A327" s="18" t="str">
        <x:v>pending</x:v>
      </x:c>
      <x:c r="B327" s="18" t="str">
        <x:v>서구</x:v>
      </x:c>
      <x:c r="C327" s="17" t="str">
        <x:v>고깃리88번지 대전둔산점</x:v>
      </x:c>
      <x:c r="D327" s="17" t="str">
        <x:v>한식&gt;돼지고기구이</x:v>
      </x:c>
      <x:c r="E327" s="19" t="n">
        <x:v>61</x:v>
      </x:c>
      <x:c r="F327" s="17" t="str">
        <x:v>지역성: 대전; 최근 12개월 블로그 100건</x:v>
      </x:c>
      <x:c r="G327" s="17" t="str">
        <x:v>대전광역시 서구 둔산동 1098 1층</x:v>
      </x:c>
      <x:c r="H327" s="17" t="str">
        <x:v>대전광역시 서구 대덕대로185번길 63 1층</x:v>
      </x:c>
      <x:c r="I327" s="18" t="e">
        <x:f>HYPERLINK("https://search.naver.com/search.naver?where=blog&amp;query=%EA%B3%A0%EA%B9%83%EB%A6%AC88%EB%B2%88%EC%A7%80+%EB%8C%80%EC%A0%84%EB%91%94%EC%82%B0%EC%A0%90+%EC%84%9C%EA%B5%AC","블로그 보기")</x:f>
        <x:v>HYPERLINK is not implemented. linkLocation=https://search.naver.com/search.naver?where=blog&amp;query=%EA%B3%A0%EA%B9%83%EB%A6%AC88%EB%B2%88%EC%A7%80+%EB%8C%80%EC%A0%84%EB%91%94%EC%82%B0%EC%A0%90+%EC%84%9C%EA%B5%AC, friendlyName=블로그 보기</x:v>
      </x:c>
      <x:c r="J327" s="18" t="str"/>
      <x:c r="K327" s="18" t="str"/>
      <x:c r="L327" s="17" t="str"/>
      <x:c r="M327" s="20" t="n">
        <x:v>46218</x:v>
      </x:c>
      <x:c r="N327" s="21" t="n">
        <x:v>100</x:v>
      </x:c>
      <x:c r="O327" s="21" t="n">
        <x:v>99</x:v>
      </x:c>
      <x:c r="P327" s="21" t="n">
        <x:v>1826</x:v>
      </x:c>
      <x:c r="Q327" s="21" t="n">
        <x:v>1</x:v>
      </x:c>
      <x:c r="R327" s="21" t="n">
        <x:v>1</x:v>
      </x:c>
      <x:c r="S327" s="17" t="str">
        <x:v>둔산동 냉면</x:v>
      </x:c>
      <x:c r="T327" s="22" t="n">
        <x:v>36.3510915</x:v>
      </x:c>
      <x:c r="U327" s="22" t="n">
        <x:v>127.3742405</x:v>
      </x:c>
    </x:row>
    <x:row r="328" ht="32" customHeight="1">
      <x:c r="A328" s="18" t="str">
        <x:v>pending</x:v>
      </x:c>
      <x:c r="B328" s="18" t="str">
        <x:v>서구</x:v>
      </x:c>
      <x:c r="C328" s="17" t="str">
        <x:v>공주칼국수쭈꾸미구이 둔산점</x:v>
      </x:c>
      <x:c r="D328" s="17" t="str">
        <x:v>음식점&gt;한식&gt;칼국수,만두</x:v>
      </x:c>
      <x:c r="E328" s="19" t="n">
        <x:v>61</x:v>
      </x:c>
      <x:c r="F328" s="17" t="str">
        <x:v>지역성: 칼국수; 최근 12개월 블로그 25건</x:v>
      </x:c>
      <x:c r="G328" s="17" t="str">
        <x:v>대전광역시 서구 둔산동 915 청사오피스텔1층 102호</x:v>
      </x:c>
      <x:c r="H328" s="17" t="str">
        <x:v>대전광역시 서구 청사로 228 청사오피스텔1층 102호</x:v>
      </x:c>
      <x:c r="I328" s="18" t="e">
        <x:f>HYPERLINK("https://search.naver.com/search.naver?where=blog&amp;query=%EA%B3%B5%EC%A3%BC%EC%B9%BC%EA%B5%AD%EC%88%98%EC%AD%88%EA%BE%B8%EB%AF%B8%EA%B5%AC%EC%9D%B4+%EB%91%94%EC%82%B0%EC%A0%90+%EC%84%9C%EA%B5%AC","블로그 보기")</x:f>
        <x:v>HYPERLINK is not implemented. linkLocation=https://search.naver.com/search.naver?where=blog&amp;query=%EA%B3%B5%EC%A3%BC%EC%B9%BC%EA%B5%AD%EC%88%98%EC%AD%88%EA%BE%B8%EB%AF%B8%EA%B5%AC%EC%9D%B4+%EB%91%94%EC%82%B0%EC%A0%90+%EC%84%9C%EA%B5%AC, friendlyName=블로그 보기</x:v>
      </x:c>
      <x:c r="J328" s="18" t="str"/>
      <x:c r="K328" s="18" t="str"/>
      <x:c r="L328" s="17" t="str"/>
      <x:c r="M328" s="20" t="n">
        <x:v>46207</x:v>
      </x:c>
      <x:c r="N328" s="21" t="n">
        <x:v>25</x:v>
      </x:c>
      <x:c r="O328" s="21" t="n">
        <x:v>31</x:v>
      </x:c>
      <x:c r="P328" s="21" t="n">
        <x:v>60</x:v>
      </x:c>
      <x:c r="Q328" s="21" t="n">
        <x:v>2</x:v>
      </x:c>
      <x:c r="R328" s="21" t="n">
        <x:v>1</x:v>
      </x:c>
      <x:c r="S328" s="17" t="str">
        <x:v>둔산동 두부두루치기</x:v>
      </x:c>
      <x:c r="T328" s="22" t="n">
        <x:v>36.359454</x:v>
      </x:c>
      <x:c r="U328" s="22" t="n">
        <x:v>127.3889727</x:v>
      </x:c>
    </x:row>
    <x:row r="329" ht="32" customHeight="1">
      <x:c r="A329" s="18" t="str">
        <x:v>pending</x:v>
      </x:c>
      <x:c r="B329" s="18" t="str">
        <x:v>서구</x:v>
      </x:c>
      <x:c r="C329" s="17" t="str">
        <x:v>데판유우</x:v>
      </x:c>
      <x:c r="D329" s="17" t="str">
        <x:v>술집&gt;요리주점</x:v>
      </x:c>
      <x:c r="E329" s="19" t="n">
        <x:v>61</x:v>
      </x:c>
      <x:c r="F329" s="17" t="str">
        <x:v>최근 12개월 블로그 49건</x:v>
      </x:c>
      <x:c r="G329" s="17" t="str">
        <x:v>대전광역시 서구 둔산동 1100 1층 데판유우</x:v>
      </x:c>
      <x:c r="H329" s="17" t="str">
        <x:v>대전광역시 서구 대덕대로185번길 53 1층 데판유우</x:v>
      </x:c>
      <x:c r="I329" s="18" t="e">
        <x:f>HYPERLINK("https://search.naver.com/search.naver?where=blog&amp;query=%EB%8D%B0%ED%8C%90%EC%9C%A0%EC%9A%B0+%EC%84%9C%EA%B5%AC","블로그 보기")</x:f>
        <x:v>HYPERLINK is not implemented. linkLocation=https://search.naver.com/search.naver?where=blog&amp;query=%EB%8D%B0%ED%8C%90%EC%9C%A0%EC%9A%B0+%EC%84%9C%EA%B5%AC, friendlyName=블로그 보기</x:v>
      </x:c>
      <x:c r="J329" s="18" t="e">
        <x:f>HYPERLINK("https://www.instagram.com/deppan_youu?igsh=b3pjbHJrc3hjcDQ5","업체 보기")</x:f>
        <x:v>HYPERLINK is not implemented. linkLocation=https://www.instagram.com/deppan_youu?igsh=b3pjbHJrc3hjcDQ5, friendlyName=업체 보기</x:v>
      </x:c>
      <x:c r="K329" s="18" t="str"/>
      <x:c r="L329" s="17" t="str"/>
      <x:c r="M329" s="20" t="n">
        <x:v>46219</x:v>
      </x:c>
      <x:c r="N329" s="21" t="n">
        <x:v>49</x:v>
      </x:c>
      <x:c r="O329" s="21" t="n">
        <x:v>100</x:v>
      </x:c>
      <x:c r="P329" s="21" t="n">
        <x:v>2425</x:v>
      </x:c>
      <x:c r="Q329" s="21" t="n">
        <x:v>2</x:v>
      </x:c>
      <x:c r="R329" s="21" t="n">
        <x:v>1</x:v>
      </x:c>
      <x:c r="S329" s="17" t="str">
        <x:v>둔산동 해산물</x:v>
      </x:c>
      <x:c r="T329" s="22" t="n">
        <x:v>36.3509028</x:v>
      </x:c>
      <x:c r="U329" s="22" t="n">
        <x:v>127.3746384</x:v>
      </x:c>
    </x:row>
    <x:row r="330" ht="32" customHeight="1">
      <x:c r="A330" s="18" t="str">
        <x:v>pending</x:v>
      </x:c>
      <x:c r="B330" s="18" t="str">
        <x:v>서구</x:v>
      </x:c>
      <x:c r="C330" s="17" t="str">
        <x:v>두부사랑</x:v>
      </x:c>
      <x:c r="D330" s="17" t="str">
        <x:v>한식&gt;두부요리</x:v>
      </x:c>
      <x:c r="E330" s="19" t="n">
        <x:v>61</x:v>
      </x:c>
      <x:c r="F330" s="17" t="str">
        <x:v>최근 12개월 블로그 100건</x:v>
      </x:c>
      <x:c r="G330" s="17" t="str">
        <x:v>대전광역시 서구 갈마동 427-51</x:v>
      </x:c>
      <x:c r="H330" s="17" t="str">
        <x:v>대전광역시 서구 신갈마로127번길 157</x:v>
      </x:c>
      <x:c r="I330" s="18" t="e">
        <x:f>HYPERLINK("https://search.naver.com/search.naver?where=blog&amp;query=%EB%91%90%EB%B6%80%EC%82%AC%EB%9E%91+%EC%84%9C%EA%B5%AC","블로그 보기")</x:f>
        <x:v>HYPERLINK is not implemented. linkLocation=https://search.naver.com/search.naver?where=blog&amp;query=%EB%91%90%EB%B6%80%EC%82%AC%EB%9E%91+%EC%84%9C%EA%B5%AC, friendlyName=블로그 보기</x:v>
      </x:c>
      <x:c r="J330" s="18" t="str"/>
      <x:c r="K330" s="18" t="str"/>
      <x:c r="L330" s="17" t="str"/>
      <x:c r="M330" s="20" t="n">
        <x:v>46223</x:v>
      </x:c>
      <x:c r="N330" s="21" t="n">
        <x:v>100</x:v>
      </x:c>
      <x:c r="O330" s="21" t="n">
        <x:v>91</x:v>
      </x:c>
      <x:c r="P330" s="21" t="n">
        <x:v>13303</x:v>
      </x:c>
      <x:c r="Q330" s="21" t="n">
        <x:v>2</x:v>
      </x:c>
      <x:c r="R330" s="21" t="n">
        <x:v>1</x:v>
      </x:c>
      <x:c r="S330" s="17" t="str">
        <x:v>갈마동 두부두루치기</x:v>
      </x:c>
      <x:c r="T330" s="22" t="n">
        <x:v>36.339865</x:v>
      </x:c>
      <x:c r="U330" s="22" t="n">
        <x:v>127.3661013</x:v>
      </x:c>
    </x:row>
    <x:row r="331" ht="32" customHeight="1">
      <x:c r="A331" s="18" t="str">
        <x:v>pending</x:v>
      </x:c>
      <x:c r="B331" s="18" t="str">
        <x:v>서구</x:v>
      </x:c>
      <x:c r="C331" s="17" t="str">
        <x:v>서울깍두기 대전시청점</x:v>
      </x:c>
      <x:c r="D331" s="17" t="str">
        <x:v>한식&gt;곰탕,설렁탕</x:v>
      </x:c>
      <x:c r="E331" s="19" t="n">
        <x:v>61</x:v>
      </x:c>
      <x:c r="F331" s="17" t="str">
        <x:v>지역성: 대전; 최근 12개월 블로그 24건</x:v>
      </x:c>
      <x:c r="G331" s="17" t="str">
        <x:v>대전광역시 서구 둔산동 1453 1층 112,113호</x:v>
      </x:c>
      <x:c r="H331" s="17" t="str">
        <x:v>대전광역시 서구 둔산로 130 1층 112,113호</x:v>
      </x:c>
      <x:c r="I331" s="18" t="e">
        <x:f>HYPERLINK("https://search.naver.com/search.naver?where=blog&amp;query=%EC%84%9C%EC%9A%B8%EA%B9%8D%EB%91%90%EA%B8%B0+%EB%8C%80%EC%A0%84%EC%8B%9C%EC%B2%AD%EC%A0%90+%EC%84%9C%EA%B5%AC","블로그 보기")</x:f>
        <x:v>HYPERLINK is not implemented. linkLocation=https://search.naver.com/search.naver?where=blog&amp;query=%EC%84%9C%EC%9A%B8%EA%B9%8D%EB%91%90%EA%B8%B0+%EB%8C%80%EC%A0%84%EC%8B%9C%EC%B2%AD%EC%A0%90+%EC%84%9C%EA%B5%AC, friendlyName=블로그 보기</x:v>
      </x:c>
      <x:c r="J331" s="18" t="e">
        <x:f>HYPERLINK("http://seoggag.com","업체 보기")</x:f>
        <x:v>HYPERLINK is not implemented. linkLocation=http://seoggag.com, friendlyName=업체 보기</x:v>
      </x:c>
      <x:c r="K331" s="18" t="str"/>
      <x:c r="L331" s="17" t="str"/>
      <x:c r="M331" s="20" t="n">
        <x:v>46161</x:v>
      </x:c>
      <x:c r="N331" s="21" t="n">
        <x:v>24</x:v>
      </x:c>
      <x:c r="O331" s="21" t="n">
        <x:v>51</x:v>
      </x:c>
      <x:c r="P331" s="21" t="n">
        <x:v>61</x:v>
      </x:c>
      <x:c r="Q331" s="21" t="n">
        <x:v>2</x:v>
      </x:c>
      <x:c r="R331" s="21" t="n">
        <x:v>1</x:v>
      </x:c>
      <x:c r="S331" s="17" t="str">
        <x:v>둔산동 삼계탕</x:v>
      </x:c>
      <x:c r="T331" s="22" t="n">
        <x:v>36.3511107</x:v>
      </x:c>
      <x:c r="U331" s="22" t="n">
        <x:v>127.3878529</x:v>
      </x:c>
    </x:row>
    <x:row r="332" ht="32" customHeight="1">
      <x:c r="A332" s="18" t="str">
        <x:v>pending</x:v>
      </x:c>
      <x:c r="B332" s="18" t="str">
        <x:v>서구</x:v>
      </x:c>
      <x:c r="C332" s="17" t="str">
        <x:v>옥천뼈구이 농민뜨끈이 갈마점</x:v>
      </x:c>
      <x:c r="D332" s="17" t="str">
        <x:v>한식&gt;감자탕</x:v>
      </x:c>
      <x:c r="E332" s="19" t="n">
        <x:v>61</x:v>
      </x:c>
      <x:c r="F332" s="17" t="str">
        <x:v>최근 12개월 블로그 100건</x:v>
      </x:c>
      <x:c r="G332" s="17" t="str">
        <x:v>대전광역시 서구 갈마동 339-3 101, 102호</x:v>
      </x:c>
      <x:c r="H332" s="17" t="str">
        <x:v>대전광역시 서구 갈마로 39 101, 102호</x:v>
      </x:c>
      <x:c r="I332" s="18" t="e">
        <x:f>HYPERLINK("https://search.naver.com/search.naver?where=blog&amp;query=%EC%98%A5%EC%B2%9C%EB%BC%88%EA%B5%AC%EC%9D%B4+%EB%86%8D%EB%AF%BC%EB%9C%A8%EB%81%88%EC%9D%B4+%EA%B0%88%EB%A7%88%EC%A0%90+%EC%84%9C%EA%B5%AC","블로그 보기")</x:f>
        <x:v>HYPERLINK is not implemented. linkLocation=https://search.naver.com/search.naver?where=blog&amp;query=%EC%98%A5%EC%B2%9C%EB%BC%88%EA%B5%AC%EC%9D%B4+%EB%86%8D%EB%AF%BC%EB%9C%A8%EB%81%88%EC%9D%B4+%EA%B0%88%EB%A7%88%EC%A0%90+%EC%84%9C%EA%B5%AC, friendlyName=블로그 보기</x:v>
      </x:c>
      <x:c r="J332" s="18" t="str"/>
      <x:c r="K332" s="18" t="str"/>
      <x:c r="L332" s="17" t="str"/>
      <x:c r="M332" s="20" t="n">
        <x:v>46223</x:v>
      </x:c>
      <x:c r="N332" s="21" t="n">
        <x:v>100</x:v>
      </x:c>
      <x:c r="O332" s="21" t="n">
        <x:v>100</x:v>
      </x:c>
      <x:c r="P332" s="21" t="n">
        <x:v>3535</x:v>
      </x:c>
      <x:c r="Q332" s="21" t="n">
        <x:v>2</x:v>
      </x:c>
      <x:c r="R332" s="21" t="n">
        <x:v>1</x:v>
      </x:c>
      <x:c r="S332" s="17" t="str">
        <x:v>갈마동 한식</x:v>
      </x:c>
      <x:c r="T332" s="22" t="n">
        <x:v>36.3492285</x:v>
      </x:c>
      <x:c r="U332" s="22" t="n">
        <x:v>127.3694948</x:v>
      </x:c>
    </x:row>
    <x:row r="333" ht="32" customHeight="1">
      <x:c r="A333" s="18" t="str">
        <x:v>pending</x:v>
      </x:c>
      <x:c r="B333" s="18" t="str">
        <x:v>서구</x:v>
      </x:c>
      <x:c r="C333" s="17" t="str">
        <x:v>키츠네유부 대전둔산점</x:v>
      </x:c>
      <x:c r="D333" s="17" t="str">
        <x:v>음식점&gt;일식&gt;초밥,롤</x:v>
      </x:c>
      <x:c r="E333" s="19" t="n">
        <x:v>61</x:v>
      </x:c>
      <x:c r="F333" s="17" t="str">
        <x:v>지역성: 대전; 최근 12개월 블로그 100건</x:v>
      </x:c>
      <x:c r="G333" s="17" t="str">
        <x:v>대전광역시 서구 둔산동 1453 1층 120호 키츠네유부 대전시청점</x:v>
      </x:c>
      <x:c r="H333" s="17" t="str">
        <x:v>대전광역시 서구 둔산로 130 1층 120호 키츠네유부 대전시청점</x:v>
      </x:c>
      <x:c r="I333" s="18" t="e">
        <x:f>HYPERLINK("https://search.naver.com/search.naver?where=blog&amp;query=%ED%82%A4%EC%B8%A0%EB%84%A4%EC%9C%A0%EB%B6%80+%EB%8C%80%EC%A0%84%EB%91%94%EC%82%B0%EC%A0%90+%EC%84%9C%EA%B5%AC","블로그 보기")</x:f>
        <x:v>HYPERLINK is not implemented. linkLocation=https://search.naver.com/search.naver?where=blog&amp;query=%ED%82%A4%EC%B8%A0%EB%84%A4%EC%9C%A0%EB%B6%80+%EB%8C%80%EC%A0%84%EB%91%94%EC%82%B0%EC%A0%90+%EC%84%9C%EA%B5%AC, friendlyName=블로그 보기</x:v>
      </x:c>
      <x:c r="J333" s="18" t="e">
        <x:f>HYPERLINK("https://www.instagram.com/kitz_yubu","업체 보기")</x:f>
        <x:v>HYPERLINK is not implemented. linkLocation=https://www.instagram.com/kitz_yubu, friendlyName=업체 보기</x:v>
      </x:c>
      <x:c r="K333" s="18" t="str"/>
      <x:c r="L333" s="17" t="str"/>
      <x:c r="M333" s="20" t="n">
        <x:v>46223</x:v>
      </x:c>
      <x:c r="N333" s="21" t="n">
        <x:v>100</x:v>
      </x:c>
      <x:c r="O333" s="21" t="n">
        <x:v>81</x:v>
      </x:c>
      <x:c r="P333" s="21" t="n">
        <x:v>1641</x:v>
      </x:c>
      <x:c r="Q333" s="21" t="n">
        <x:v>1</x:v>
      </x:c>
      <x:c r="R333" s="21" t="n">
        <x:v>1</x:v>
      </x:c>
      <x:c r="S333" s="17" t="str">
        <x:v>둔산동 일식</x:v>
      </x:c>
      <x:c r="T333" s="22" t="n">
        <x:v>36.3508639</x:v>
      </x:c>
      <x:c r="U333" s="22" t="n">
        <x:v>127.3881196</x:v>
      </x:c>
    </x:row>
    <x:row r="334" ht="32" customHeight="1">
      <x:c r="A334" s="18" t="str">
        <x:v>pending</x:v>
      </x:c>
      <x:c r="B334" s="18" t="str">
        <x:v>서구</x:v>
      </x:c>
      <x:c r="C334" s="17" t="str">
        <x:v>태평소국밥</x:v>
      </x:c>
      <x:c r="D334" s="17" t="str">
        <x:v>한식&gt;국밥</x:v>
      </x:c>
      <x:c r="E334" s="19" t="n">
        <x:v>61</x:v>
      </x:c>
      <x:c r="F334" s="17" t="str">
        <x:v>최근 12개월 블로그 100건</x:v>
      </x:c>
      <x:c r="G334" s="17" t="str">
        <x:v>대전광역시 서구 둔산동 1005</x:v>
      </x:c>
      <x:c r="H334" s="17" t="str">
        <x:v>대전광역시 서구 둔산로31번길 52</x:v>
      </x:c>
      <x:c r="I334" s="18" t="e">
        <x:f>HYPERLINK("https://search.naver.com/search.naver?where=blog&amp;query=%ED%83%9C%ED%8F%89%EC%86%8C%EA%B5%AD%EB%B0%A5+%EC%84%9C%EA%B5%AC","블로그 보기")</x:f>
        <x:v>HYPERLINK is not implemented. linkLocation=https://search.naver.com/search.naver?where=blog&amp;query=%ED%83%9C%ED%8F%89%EC%86%8C%EA%B5%AD%EB%B0%A5+%EC%84%9C%EA%B5%AC, friendlyName=블로그 보기</x:v>
      </x:c>
      <x:c r="J334" s="18" t="e">
        <x:f>HYPERLINK("https://smartstore.naver.com/mcfdts","업체 보기")</x:f>
        <x:v>HYPERLINK is not implemented. linkLocation=https://smartstore.naver.com/mcfdts, friendlyName=업체 보기</x:v>
      </x:c>
      <x:c r="K334" s="18" t="str"/>
      <x:c r="L334" s="17" t="str"/>
      <x:c r="M334" s="20" t="n">
        <x:v>46222</x:v>
      </x:c>
      <x:c r="N334" s="21" t="n">
        <x:v>100</x:v>
      </x:c>
      <x:c r="O334" s="21" t="n">
        <x:v>98</x:v>
      </x:c>
      <x:c r="P334" s="21" t="n">
        <x:v>3227</x:v>
      </x:c>
      <x:c r="Q334" s="21" t="n">
        <x:v>2</x:v>
      </x:c>
      <x:c r="R334" s="21" t="n">
        <x:v>1</x:v>
      </x:c>
      <x:c r="S334" s="17" t="str">
        <x:v>둔산동 국밥</x:v>
      </x:c>
      <x:c r="T334" s="22" t="n">
        <x:v>36.3540819</x:v>
      </x:c>
      <x:c r="U334" s="22" t="n">
        <x:v>127.3778893</x:v>
      </x:c>
    </x:row>
    <x:row r="335" ht="32" customHeight="1">
      <x:c r="A335" s="18" t="str">
        <x:v>pending</x:v>
      </x:c>
      <x:c r="B335" s="18" t="str">
        <x:v>서구</x:v>
      </x:c>
      <x:c r="C335" s="17" t="str">
        <x:v>고집불통신닭발 본점</x:v>
      </x:c>
      <x:c r="D335" s="17" t="str">
        <x:v>한식&gt;닭발</x:v>
      </x:c>
      <x:c r="E335" s="19" t="n">
        <x:v>60</x:v>
      </x:c>
      <x:c r="F335" s="17" t="str">
        <x:v>지역성: 본점; 최근 12개월 블로그 30건</x:v>
      </x:c>
      <x:c r="G335" s="17" t="str">
        <x:v>대전광역시 서구 둔산동 1828</x:v>
      </x:c>
      <x:c r="H335" s="17" t="str">
        <x:v>대전광역시 서구 문정로170번길 192</x:v>
      </x:c>
      <x:c r="I335" s="18" t="e">
        <x:f>HYPERLINK("https://search.naver.com/search.naver?where=blog&amp;query=%EA%B3%A0%EC%A7%91%EB%B6%88%ED%86%B5%EC%8B%A0%EB%8B%AD%EB%B0%9C+%EB%B3%B8%EC%A0%90+%EC%84%9C%EA%B5%AC","블로그 보기")</x:f>
        <x:v>HYPERLINK is not implemented. linkLocation=https://search.naver.com/search.naver?where=blog&amp;query=%EA%B3%A0%EC%A7%91%EB%B6%88%ED%86%B5%EC%8B%A0%EB%8B%AD%EB%B0%9C+%EB%B3%B8%EC%A0%90+%EC%84%9C%EA%B5%AC, friendlyName=블로그 보기</x:v>
      </x:c>
      <x:c r="J335" s="18" t="e">
        <x:f>HYPERLINK("https://www.instagram.com/gojib2222222v","업체 보기")</x:f>
        <x:v>HYPERLINK is not implemented. linkLocation=https://www.instagram.com/gojib2222222v, friendlyName=업체 보기</x:v>
      </x:c>
      <x:c r="K335" s="18" t="str"/>
      <x:c r="L335" s="17" t="str"/>
      <x:c r="M335" s="20" t="n">
        <x:v>46213</x:v>
      </x:c>
      <x:c r="N335" s="21" t="n">
        <x:v>30</x:v>
      </x:c>
      <x:c r="O335" s="21" t="n">
        <x:v>42</x:v>
      </x:c>
      <x:c r="P335" s="21" t="n">
        <x:v>44</x:v>
      </x:c>
      <x:c r="Q335" s="21" t="n">
        <x:v>2</x:v>
      </x:c>
      <x:c r="R335" s="21" t="n">
        <x:v>1</x:v>
      </x:c>
      <x:c r="S335" s="17" t="str">
        <x:v>둔산동 노포</x:v>
      </x:c>
      <x:c r="T335" s="22" t="n">
        <x:v>36.3508169</x:v>
      </x:c>
      <x:c r="U335" s="22" t="n">
        <x:v>127.3977196</x:v>
      </x:c>
    </x:row>
    <x:row r="336" ht="32" customHeight="1">
      <x:c r="A336" s="18" t="str">
        <x:v>pending</x:v>
      </x:c>
      <x:c r="B336" s="18" t="str">
        <x:v>서구</x:v>
      </x:c>
      <x:c r="C336" s="17" t="str">
        <x:v>광장포차</x:v>
      </x:c>
      <x:c r="D336" s="17" t="str">
        <x:v>술집&gt;포장마차</x:v>
      </x:c>
      <x:c r="E336" s="19" t="n">
        <x:v>60</x:v>
      </x:c>
      <x:c r="F336" s="17" t="str">
        <x:v>최근 12개월 블로그 100건</x:v>
      </x:c>
      <x:c r="G336" s="17" t="str">
        <x:v>대전광역시 서구 둔산동 1105-1 1층 광장포차</x:v>
      </x:c>
      <x:c r="H336" s="17" t="str">
        <x:v>대전광역시 서구 대덕대로185번길 23 1층 광장포차</x:v>
      </x:c>
      <x:c r="I336" s="18" t="e">
        <x:f>HYPERLINK("https://search.naver.com/search.naver?where=blog&amp;query=%EA%B4%91%EC%9E%A5%ED%8F%AC%EC%B0%A8+%EC%84%9C%EA%B5%AC","블로그 보기")</x:f>
        <x:v>HYPERLINK is not implemented. linkLocation=https://search.naver.com/search.naver?where=blog&amp;query=%EA%B4%91%EC%9E%A5%ED%8F%AC%EC%B0%A8+%EC%84%9C%EA%B5%AC, friendlyName=블로그 보기</x:v>
      </x:c>
      <x:c r="J336" s="18" t="e">
        <x:f>HYPERLINK("https://www.instagram.com/reel/Czv5FXBRDzf/?igshid=MzRlODBiNWFlZA==","업체 보기")</x:f>
        <x:v>HYPERLINK is not implemented. linkLocation=https://www.instagram.com/reel/Czv5FXBRDzf/?igshid=MzRlODBiNWFlZA==, friendlyName=업체 보기</x:v>
      </x:c>
      <x:c r="K336" s="18" t="str"/>
      <x:c r="L336" s="17" t="str"/>
      <x:c r="M336" s="20" t="n">
        <x:v>46223</x:v>
      </x:c>
      <x:c r="N336" s="21" t="n">
        <x:v>100</x:v>
      </x:c>
      <x:c r="O336" s="21" t="n">
        <x:v>95</x:v>
      </x:c>
      <x:c r="P336" s="21" t="n">
        <x:v>1678</x:v>
      </x:c>
      <x:c r="Q336" s="21" t="n">
        <x:v>2</x:v>
      </x:c>
      <x:c r="R336" s="21" t="n">
        <x:v>1</x:v>
      </x:c>
      <x:c r="S336" s="17" t="str">
        <x:v>둔산동 노포</x:v>
      </x:c>
      <x:c r="T336" s="22" t="n">
        <x:v>36.3502132</x:v>
      </x:c>
      <x:c r="U336" s="22" t="n">
        <x:v>127.3761421</x:v>
      </x:c>
    </x:row>
    <x:row r="337" ht="32" customHeight="1">
      <x:c r="A337" s="18" t="str">
        <x:v>pending</x:v>
      </x:c>
      <x:c r="B337" s="18" t="str">
        <x:v>서구</x:v>
      </x:c>
      <x:c r="C337" s="17" t="str">
        <x:v>보배반점 대전둔산점</x:v>
      </x:c>
      <x:c r="D337" s="17" t="str">
        <x:v>음식점&gt;중식당</x:v>
      </x:c>
      <x:c r="E337" s="19" t="n">
        <x:v>60</x:v>
      </x:c>
      <x:c r="F337" s="17" t="str">
        <x:v>지역성: 대전; 최근 12개월 블로그 100건</x:v>
      </x:c>
      <x:c r="G337" s="17" t="str">
        <x:v>대전광역시 서구 둔산동 1491 1층</x:v>
      </x:c>
      <x:c r="H337" s="17" t="str">
        <x:v>대전광역시 서구 둔산남로105번길 22 1층</x:v>
      </x:c>
      <x:c r="I337" s="18" t="e">
        <x:f>HYPERLINK("https://search.naver.com/search.naver?where=blog&amp;query=%EB%B3%B4%EB%B0%B0%EB%B0%98%EC%A0%90+%EB%8C%80%EC%A0%84%EB%91%94%EC%82%B0%EC%A0%90+%EC%84%9C%EA%B5%AC","블로그 보기")</x:f>
        <x:v>HYPERLINK is not implemented. linkLocation=https://search.naver.com/search.naver?where=blog&amp;query=%EB%B3%B4%EB%B0%B0%EB%B0%98%EC%A0%90+%EB%8C%80%EC%A0%84%EB%91%94%EC%82%B0%EC%A0%90+%EC%84%9C%EA%B5%AC, friendlyName=블로그 보기</x:v>
      </x:c>
      <x:c r="J337" s="18" t="e">
        <x:f>HYPERLINK("https://www.instagram.com/bobae_dunsan","업체 보기")</x:f>
        <x:v>HYPERLINK is not implemented. linkLocation=https://www.instagram.com/bobae_dunsan, friendlyName=업체 보기</x:v>
      </x:c>
      <x:c r="K337" s="18" t="str"/>
      <x:c r="L337" s="17" t="str"/>
      <x:c r="M337" s="20" t="n">
        <x:v>46223</x:v>
      </x:c>
      <x:c r="N337" s="21" t="n">
        <x:v>100</x:v>
      </x:c>
      <x:c r="O337" s="21" t="n">
        <x:v>95</x:v>
      </x:c>
      <x:c r="P337" s="21" t="n">
        <x:v>482</x:v>
      </x:c>
      <x:c r="Q337" s="21" t="n">
        <x:v>1</x:v>
      </x:c>
      <x:c r="R337" s="21" t="n">
        <x:v>1</x:v>
      </x:c>
      <x:c r="S337" s="17" t="str">
        <x:v>둔산동 중식</x:v>
      </x:c>
      <x:c r="T337" s="22" t="n">
        <x:v>36.3500784</x:v>
      </x:c>
      <x:c r="U337" s="22" t="n">
        <x:v>127.3893981</x:v>
      </x:c>
    </x:row>
    <x:row r="338" ht="32" customHeight="1">
      <x:c r="A338" s="18" t="str">
        <x:v>pending</x:v>
      </x:c>
      <x:c r="B338" s="18" t="str">
        <x:v>서구</x:v>
      </x:c>
      <x:c r="C338" s="17" t="str">
        <x:v>앞산큰골집 대전둔산점</x:v>
      </x:c>
      <x:c r="D338" s="17" t="str">
        <x:v>음식점&gt;한식</x:v>
      </x:c>
      <x:c r="E338" s="19" t="n">
        <x:v>60</x:v>
      </x:c>
      <x:c r="F338" s="17" t="str">
        <x:v>지역성: 대전; 최근 12개월 블로그 100건</x:v>
      </x:c>
      <x:c r="G338" s="17" t="str">
        <x:v>대전광역시 서구 둔산동 1176 1층</x:v>
      </x:c>
      <x:c r="H338" s="17" t="str">
        <x:v>대전광역시 서구 둔산로 72 1층</x:v>
      </x:c>
      <x:c r="I338" s="18" t="e">
        <x:f>HYPERLINK("https://search.naver.com/search.naver?where=blog&amp;query=%EC%95%9E%EC%82%B0%ED%81%B0%EA%B3%A8%EC%A7%91+%EB%8C%80%EC%A0%84%EB%91%94%EC%82%B0%EC%A0%90+%EC%84%9C%EA%B5%AC","블로그 보기")</x:f>
        <x:v>HYPERLINK is not implemented. linkLocation=https://search.naver.com/search.naver?where=blog&amp;query=%EC%95%9E%EC%82%B0%ED%81%B0%EA%B3%A8%EC%A7%91+%EB%8C%80%EC%A0%84%EB%91%94%EC%82%B0%EC%A0%90+%EC%84%9C%EA%B5%AC, friendlyName=블로그 보기</x:v>
      </x:c>
      <x:c r="J338" s="18" t="e">
        <x:f>HYPERLINK("https://blog.naver.com/djkeungol","업체 보기")</x:f>
        <x:v>HYPERLINK is not implemented. linkLocation=https://blog.naver.com/djkeungol, friendlyName=업체 보기</x:v>
      </x:c>
      <x:c r="K338" s="18" t="str"/>
      <x:c r="L338" s="17" t="str"/>
      <x:c r="M338" s="20" t="n">
        <x:v>46223</x:v>
      </x:c>
      <x:c r="N338" s="21" t="n">
        <x:v>100</x:v>
      </x:c>
      <x:c r="O338" s="21" t="n">
        <x:v>100</x:v>
      </x:c>
      <x:c r="P338" s="21" t="n">
        <x:v>258</x:v>
      </x:c>
      <x:c r="Q338" s="21" t="n">
        <x:v>2</x:v>
      </x:c>
      <x:c r="R338" s="21" t="n">
        <x:v>0</x:v>
      </x:c>
      <x:c r="S338" s="17" t="str">
        <x:v>둔산동 맛집 | 둔산동 한식</x:v>
      </x:c>
      <x:c r="T338" s="22" t="n">
        <x:v>36.3509973</x:v>
      </x:c>
      <x:c r="U338" s="22" t="n">
        <x:v>127.3818934</x:v>
      </x:c>
    </x:row>
    <x:row r="339" ht="32" customHeight="1">
      <x:c r="A339" s="18" t="str">
        <x:v>pending</x:v>
      </x:c>
      <x:c r="B339" s="18" t="str">
        <x:v>서구</x:v>
      </x:c>
      <x:c r="C339" s="17" t="str">
        <x:v>통통식당</x:v>
      </x:c>
      <x:c r="D339" s="17" t="str">
        <x:v>음식점&gt;한식</x:v>
      </x:c>
      <x:c r="E339" s="19" t="n">
        <x:v>60</x:v>
      </x:c>
      <x:c r="F339" s="17" t="str">
        <x:v>최근 12개월 블로그 100건</x:v>
      </x:c>
      <x:c r="G339" s="17" t="str">
        <x:v>대전광역시 서구 갈마동 263-39</x:v>
      </x:c>
      <x:c r="H339" s="17" t="str">
        <x:v>대전광역시 서구 계룡로349번길 22</x:v>
      </x:c>
      <x:c r="I339" s="18" t="e">
        <x:f>HYPERLINK("https://search.naver.com/search.naver?where=blog&amp;query=%ED%86%B5%ED%86%B5%EC%8B%9D%EB%8B%B9+%EC%84%9C%EA%B5%AC","블로그 보기")</x:f>
        <x:v>HYPERLINK is not implemented. linkLocation=https://search.naver.com/search.naver?where=blog&amp;query=%ED%86%B5%ED%86%B5%EC%8B%9D%EB%8B%B9+%EC%84%9C%EA%B5%AC, friendlyName=블로그 보기</x:v>
      </x:c>
      <x:c r="J339" s="18" t="str"/>
      <x:c r="K339" s="18" t="str"/>
      <x:c r="L339" s="17" t="str"/>
      <x:c r="M339" s="20" t="n">
        <x:v>46223</x:v>
      </x:c>
      <x:c r="N339" s="21" t="n">
        <x:v>100</x:v>
      </x:c>
      <x:c r="O339" s="21" t="n">
        <x:v>95</x:v>
      </x:c>
      <x:c r="P339" s="21" t="n">
        <x:v>1669</x:v>
      </x:c>
      <x:c r="Q339" s="21" t="n">
        <x:v>2</x:v>
      </x:c>
      <x:c r="R339" s="21" t="n">
        <x:v>1</x:v>
      </x:c>
      <x:c r="S339" s="17" t="str">
        <x:v>갈마동 삼계탕</x:v>
      </x:c>
      <x:c r="T339" s="22" t="n">
        <x:v>36.3548786</x:v>
      </x:c>
      <x:c r="U339" s="22" t="n">
        <x:v>127.3680504</x:v>
      </x:c>
    </x:row>
    <x:row r="340" ht="32" customHeight="1">
      <x:c r="A340" s="18" t="str">
        <x:v>pending</x:v>
      </x:c>
      <x:c r="B340" s="18" t="str">
        <x:v>서구</x:v>
      </x:c>
      <x:c r="C340" s="17" t="str">
        <x:v>갈마동김한돈</x:v>
      </x:c>
      <x:c r="D340" s="17" t="str">
        <x:v>한식&gt;돼지고기구이</x:v>
      </x:c>
      <x:c r="E340" s="19" t="n">
        <x:v>59</x:v>
      </x:c>
      <x:c r="F340" s="17" t="str">
        <x:v>최근 12개월 블로그 100건</x:v>
      </x:c>
      <x:c r="G340" s="17" t="str">
        <x:v>대전광역시 서구 갈마동 1071</x:v>
      </x:c>
      <x:c r="H340" s="17" t="str">
        <x:v>대전광역시 서구 대덕대로 143-1 (갈마동)</x:v>
      </x:c>
      <x:c r="I340" s="18" t="e">
        <x:f>HYPERLINK("https://search.naver.com/search.naver?where=blog&amp;query=%EA%B0%88%EB%A7%88%EB%8F%99%EA%B9%80%ED%95%9C%EB%8F%88+%EA%B0%88%EB%A7%88%EB%8F%99","블로그 보기")</x:f>
        <x:v>HYPERLINK is not implemented. linkLocation=https://search.naver.com/search.naver?where=blog&amp;query=%EA%B0%88%EB%A7%88%EB%8F%99%EA%B9%80%ED%95%9C%EB%8F%88+%EA%B0%88%EB%A7%88%EB%8F%99, friendlyName=블로그 보기</x:v>
      </x:c>
      <x:c r="J340" s="18" t="e">
        <x:f>HYPERLINK("https://www.instagram.com/kimhandon","업체 보기")</x:f>
        <x:v>HYPERLINK is not implemented. linkLocation=https://www.instagram.com/kimhandon, friendlyName=업체 보기</x:v>
      </x:c>
      <x:c r="K340" s="18" t="str"/>
      <x:c r="L340" s="17" t="str"/>
      <x:c r="M340" s="20" t="n">
        <x:v>46174</x:v>
      </x:c>
      <x:c r="N340" s="21" t="n">
        <x:v>100</x:v>
      </x:c>
      <x:c r="O340" s="21" t="n">
        <x:v>82</x:v>
      </x:c>
      <x:c r="P340" s="21" t="n">
        <x:v>980</x:v>
      </x:c>
      <x:c r="Q340" s="21" t="n">
        <x:v>2</x:v>
      </x:c>
      <x:c r="R340" s="21" t="n">
        <x:v>1</x:v>
      </x:c>
      <x:c r="S340" s="17" t="str">
        <x:v>갈마동 냉면</x:v>
      </x:c>
      <x:c r="T340" s="22" t="n">
        <x:v>36.3465328</x:v>
      </x:c>
      <x:c r="U340" s="22" t="n">
        <x:v>127.3747991</x:v>
      </x:c>
    </x:row>
    <x:row r="341" ht="32" customHeight="1">
      <x:c r="A341" s="18" t="str">
        <x:v>pending</x:v>
      </x:c>
      <x:c r="B341" s="18" t="str">
        <x:v>서구</x:v>
      </x:c>
      <x:c r="C341" s="17" t="str">
        <x:v>강남면옥 둔산점</x:v>
      </x:c>
      <x:c r="D341" s="17" t="str">
        <x:v>한식&gt;냉면</x:v>
      </x:c>
      <x:c r="E341" s="19" t="n">
        <x:v>59</x:v>
      </x:c>
      <x:c r="F341" s="17" t="str">
        <x:v>최근 12개월 블로그 8건</x:v>
      </x:c>
      <x:c r="G341" s="17" t="str">
        <x:v>대전광역시 서구 둔산동 1410</x:v>
      </x:c>
      <x:c r="H341" s="17" t="str">
        <x:v>대전광역시 서구 둔산로123번길 15</x:v>
      </x:c>
      <x:c r="I341" s="18" t="e">
        <x:f>HYPERLINK("https://search.naver.com/search.naver?where=blog&amp;query=%EA%B0%95%EB%82%A8%EB%A9%B4%EC%98%A5+%EB%91%94%EC%82%B0%EC%A0%90+%EC%84%9C%EA%B5%AC","블로그 보기")</x:f>
        <x:v>HYPERLINK is not implemented. linkLocation=https://search.naver.com/search.naver?where=blog&amp;query=%EA%B0%95%EB%82%A8%EB%A9%B4%EC%98%A5+%EB%91%94%EC%82%B0%EC%A0%90+%EC%84%9C%EA%B5%AC, friendlyName=블로그 보기</x:v>
      </x:c>
      <x:c r="J341" s="18" t="str"/>
      <x:c r="K341" s="18" t="str"/>
      <x:c r="L341" s="17" t="str"/>
      <x:c r="M341" s="20" t="n">
        <x:v>46216</x:v>
      </x:c>
      <x:c r="N341" s="21" t="n">
        <x:v>8</x:v>
      </x:c>
      <x:c r="O341" s="21" t="n">
        <x:v>100</x:v>
      </x:c>
      <x:c r="P341" s="21" t="n">
        <x:v>699</x:v>
      </x:c>
      <x:c r="Q341" s="21" t="n">
        <x:v>2</x:v>
      </x:c>
      <x:c r="R341" s="21" t="n">
        <x:v>1</x:v>
      </x:c>
      <x:c r="S341" s="17" t="str">
        <x:v>둔산동 냉면</x:v>
      </x:c>
      <x:c r="T341" s="22" t="n">
        <x:v>36.3519663</x:v>
      </x:c>
      <x:c r="U341" s="22" t="n">
        <x:v>127.3874957</x:v>
      </x:c>
    </x:row>
    <x:row r="342" ht="32" customHeight="1">
      <x:c r="A342" s="18" t="str">
        <x:v>pending</x:v>
      </x:c>
      <x:c r="B342" s="18" t="str">
        <x:v>서구</x:v>
      </x:c>
      <x:c r="C342" s="17" t="str">
        <x:v>맛찬들왕소금구이 갈마점</x:v>
      </x:c>
      <x:c r="D342" s="17" t="str">
        <x:v>한식&gt;육류,고기요리</x:v>
      </x:c>
      <x:c r="E342" s="19" t="n">
        <x:v>59</x:v>
      </x:c>
      <x:c r="F342" s="17" t="str">
        <x:v>최근 12개월 블로그 38건</x:v>
      </x:c>
      <x:c r="G342" s="17" t="str">
        <x:v>대전광역시 서구 갈마동 343-54 1층</x:v>
      </x:c>
      <x:c r="H342" s="17" t="str">
        <x:v>대전광역시 서구 계룡로 398 1층</x:v>
      </x:c>
      <x:c r="I342" s="18" t="e">
        <x:f>HYPERLINK("https://search.naver.com/search.naver?where=blog&amp;query=%EB%A7%9B%EC%B0%AC%EB%93%A4%EC%99%95%EC%86%8C%EA%B8%88%EA%B5%AC%EC%9D%B4+%EA%B0%88%EB%A7%88%EC%A0%90+%EC%84%9C%EA%B5%AC","블로그 보기")</x:f>
        <x:v>HYPERLINK is not implemented. linkLocation=https://search.naver.com/search.naver?where=blog&amp;query=%EB%A7%9B%EC%B0%AC%EB%93%A4%EC%99%95%EC%86%8C%EA%B8%88%EA%B5%AC%EC%9D%B4+%EA%B0%88%EB%A7%88%EC%A0%90+%EC%84%9C%EA%B5%AC, friendlyName=블로그 보기</x:v>
      </x:c>
      <x:c r="J342" s="18" t="e">
        <x:f>HYPERLINK("https://app.catchtable.co.kr/ct/shop/matchandeul_galma","업체 보기")</x:f>
        <x:v>HYPERLINK is not implemented. linkLocation=https://app.catchtable.co.kr/ct/shop/matchandeul_galma, friendlyName=업체 보기</x:v>
      </x:c>
      <x:c r="K342" s="18" t="str"/>
      <x:c r="L342" s="17" t="str"/>
      <x:c r="M342" s="20" t="n">
        <x:v>46223</x:v>
      </x:c>
      <x:c r="N342" s="21" t="n">
        <x:v>38</x:v>
      </x:c>
      <x:c r="O342" s="21" t="n">
        <x:v>90</x:v>
      </x:c>
      <x:c r="P342" s="21" t="n">
        <x:v>95</x:v>
      </x:c>
      <x:c r="Q342" s="21" t="n">
        <x:v>2</x:v>
      </x:c>
      <x:c r="R342" s="21" t="n">
        <x:v>2</x:v>
      </x:c>
      <x:c r="S342" s="17" t="str">
        <x:v>갈마동 맛집 | 갈마동 한식</x:v>
      </x:c>
      <x:c r="T342" s="22" t="n">
        <x:v>36.3508632</x:v>
      </x:c>
      <x:c r="U342" s="22" t="n">
        <x:v>127.371708</x:v>
      </x:c>
    </x:row>
    <x:row r="343" ht="32" customHeight="1">
      <x:c r="A343" s="18" t="str">
        <x:v>pending</x:v>
      </x:c>
      <x:c r="B343" s="18" t="str">
        <x:v>서구</x:v>
      </x:c>
      <x:c r="C343" s="17" t="str">
        <x:v>바르다김선생 대전시청점</x:v>
      </x:c>
      <x:c r="D343" s="17" t="str">
        <x:v>음식점&gt;분식</x:v>
      </x:c>
      <x:c r="E343" s="19" t="n">
        <x:v>59</x:v>
      </x:c>
      <x:c r="F343" s="17" t="str">
        <x:v>지역성: 대전; 최근 12개월 블로그 44건</x:v>
      </x:c>
      <x:c r="G343" s="17" t="str">
        <x:v>대전광역시 서구 둔산동 1413 파이낸스빌딩 104호,105호</x:v>
      </x:c>
      <x:c r="H343" s="17" t="str">
        <x:v>대전광역시 서구 둔산중로 50 파이낸스빌딩 104호,105호</x:v>
      </x:c>
      <x:c r="I343" s="18" t="e">
        <x:f>HYPERLINK("https://search.naver.com/search.naver?where=blog&amp;query=%EB%B0%94%EB%A5%B4%EB%8B%A4%EA%B9%80%EC%84%A0%EC%83%9D+%EB%8C%80%EC%A0%84%EC%8B%9C%EC%B2%AD%EC%A0%90+%EC%84%9C%EA%B5%AC","블로그 보기")</x:f>
        <x:v>HYPERLINK is not implemented. linkLocation=https://search.naver.com/search.naver?where=blog&amp;query=%EB%B0%94%EB%A5%B4%EB%8B%A4%EA%B9%80%EC%84%A0%EC%83%9D+%EB%8C%80%EC%A0%84%EC%8B%9C%EC%B2%AD%EC%A0%90+%EC%84%9C%EA%B5%AC, friendlyName=블로그 보기</x:v>
      </x:c>
      <x:c r="J343" s="18" t="e">
        <x:f>HYPERLINK("http://www.teacherkim.co.kr","업체 보기")</x:f>
        <x:v>HYPERLINK is not implemented. linkLocation=http://www.teacherkim.co.kr, friendlyName=업체 보기</x:v>
      </x:c>
      <x:c r="K343" s="18" t="str"/>
      <x:c r="L343" s="17" t="str"/>
      <x:c r="M343" s="20" t="n">
        <x:v>46211</x:v>
      </x:c>
      <x:c r="N343" s="21" t="n">
        <x:v>44</x:v>
      </x:c>
      <x:c r="O343" s="21" t="n">
        <x:v>98</x:v>
      </x:c>
      <x:c r="P343" s="21" t="n">
        <x:v>453</x:v>
      </x:c>
      <x:c r="Q343" s="21" t="n">
        <x:v>1</x:v>
      </x:c>
      <x:c r="R343" s="21" t="n">
        <x:v>1</x:v>
      </x:c>
      <x:c r="S343" s="17" t="str">
        <x:v>둔산동 분식</x:v>
      </x:c>
      <x:c r="T343" s="22" t="n">
        <x:v>36.3508874</x:v>
      </x:c>
      <x:c r="U343" s="22" t="n">
        <x:v>127.3874583</x:v>
      </x:c>
    </x:row>
    <x:row r="344" ht="32" customHeight="1">
      <x:c r="A344" s="18" t="str">
        <x:v>pending</x:v>
      </x:c>
      <x:c r="B344" s="18" t="str">
        <x:v>서구</x:v>
      </x:c>
      <x:c r="C344" s="17" t="str">
        <x:v>얼칼</x:v>
      </x:c>
      <x:c r="D344" s="17" t="str">
        <x:v>한식&gt;칼국수,만두</x:v>
      </x:c>
      <x:c r="E344" s="19" t="n">
        <x:v>59</x:v>
      </x:c>
      <x:c r="F344" s="17" t="str">
        <x:v>지역성: 칼국수; 최근 12개월 블로그 50건</x:v>
      </x:c>
      <x:c r="G344" s="17" t="str">
        <x:v>대전광역시 서구 갈마동 377-38 1층</x:v>
      </x:c>
      <x:c r="H344" s="17" t="str">
        <x:v>대전광역시 서구 신갈마로 141 1층</x:v>
      </x:c>
      <x:c r="I344" s="18" t="e">
        <x:f>HYPERLINK("https://search.naver.com/search.naver?where=blog&amp;query=%EC%96%BC%EC%B9%BC+%EC%84%9C%EA%B5%AC","블로그 보기")</x:f>
        <x:v>HYPERLINK is not implemented. linkLocation=https://search.naver.com/search.naver?where=blog&amp;query=%EC%96%BC%EC%B9%BC+%EC%84%9C%EA%B5%AC, friendlyName=블로그 보기</x:v>
      </x:c>
      <x:c r="J344" s="18" t="str"/>
      <x:c r="K344" s="18" t="str"/>
      <x:c r="L344" s="17" t="str"/>
      <x:c r="M344" s="20" t="n">
        <x:v>46222</x:v>
      </x:c>
      <x:c r="N344" s="21" t="n">
        <x:v>50</x:v>
      </x:c>
      <x:c r="O344" s="21" t="n">
        <x:v>86</x:v>
      </x:c>
      <x:c r="P344" s="21" t="n">
        <x:v>172</x:v>
      </x:c>
      <x:c r="Q344" s="21" t="n">
        <x:v>2</x:v>
      </x:c>
      <x:c r="R344" s="21" t="n">
        <x:v>0</x:v>
      </x:c>
      <x:c r="S344" s="17" t="str">
        <x:v>갈마동 두부두루치기 | 갈마동 칼국수</x:v>
      </x:c>
      <x:c r="T344" s="22" t="n">
        <x:v>36.3463797</x:v>
      </x:c>
      <x:c r="U344" s="22" t="n">
        <x:v>127.3682324</x:v>
      </x:c>
    </x:row>
    <x:row r="345" ht="32" customHeight="1">
      <x:c r="A345" s="18" t="str">
        <x:v>pending</x:v>
      </x:c>
      <x:c r="B345" s="18" t="str">
        <x:v>서구</x:v>
      </x:c>
      <x:c r="C345" s="17" t="str">
        <x:v>짬뽕관 대전둔산점</x:v>
      </x:c>
      <x:c r="D345" s="17" t="str">
        <x:v>음식점&gt;중식당</x:v>
      </x:c>
      <x:c r="E345" s="19" t="n">
        <x:v>59</x:v>
      </x:c>
      <x:c r="F345" s="17" t="str">
        <x:v>지역성: 대전; 최근 12개월 블로그 99건</x:v>
      </x:c>
      <x:c r="G345" s="17" t="str">
        <x:v>대전광역시 서구 둔산동 1319 1층</x:v>
      </x:c>
      <x:c r="H345" s="17" t="str">
        <x:v>대전광역시 서구 대덕대로234번길 38 1층</x:v>
      </x:c>
      <x:c r="I345" s="18" t="e">
        <x:f>HYPERLINK("https://search.naver.com/search.naver?where=blog&amp;query=%EC%A7%AC%EB%BD%95%EA%B4%80+%EB%8C%80%EC%A0%84%EB%91%94%EC%82%B0%EC%A0%90+%EC%84%9C%EA%B5%AC","블로그 보기")</x:f>
        <x:v>HYPERLINK is not implemented. linkLocation=https://search.naver.com/search.naver?where=blog&amp;query=%EC%A7%AC%EB%BD%95%EA%B4%80+%EB%8C%80%EC%A0%84%EB%91%94%EC%82%B0%EC%A0%90+%EC%84%9C%EA%B5%AC, friendlyName=블로그 보기</x:v>
      </x:c>
      <x:c r="J345" s="18" t="e">
        <x:f>HYPERLINK("http://jjkk.winko.net/","업체 보기")</x:f>
        <x:v>HYPERLINK is not implemented. linkLocation=http://jjkk.winko.net/, friendlyName=업체 보기</x:v>
      </x:c>
      <x:c r="K345" s="18" t="str"/>
      <x:c r="L345" s="17" t="str"/>
      <x:c r="M345" s="20" t="n">
        <x:v>46220</x:v>
      </x:c>
      <x:c r="N345" s="21" t="n">
        <x:v>99</x:v>
      </x:c>
      <x:c r="O345" s="21" t="n">
        <x:v>95</x:v>
      </x:c>
      <x:c r="P345" s="21" t="n">
        <x:v>405</x:v>
      </x:c>
      <x:c r="Q345" s="21" t="n">
        <x:v>1</x:v>
      </x:c>
      <x:c r="R345" s="21" t="n">
        <x:v>1</x:v>
      </x:c>
      <x:c r="S345" s="17" t="str">
        <x:v>둔산동 중식</x:v>
      </x:c>
      <x:c r="T345" s="22" t="n">
        <x:v>36.353409</x:v>
      </x:c>
      <x:c r="U345" s="22" t="n">
        <x:v>127.3817885</x:v>
      </x:c>
    </x:row>
    <x:row r="346" ht="32" customHeight="1">
      <x:c r="A346" s="18" t="str">
        <x:v>pending</x:v>
      </x:c>
      <x:c r="B346" s="18" t="str">
        <x:v>서구</x:v>
      </x:c>
      <x:c r="C346" s="17" t="str">
        <x:v>최애뭉티기 갈마본점</x:v>
      </x:c>
      <x:c r="D346" s="17" t="str">
        <x:v>음식점&gt;한식</x:v>
      </x:c>
      <x:c r="E346" s="19" t="n">
        <x:v>59</x:v>
      </x:c>
      <x:c r="F346" s="17" t="str">
        <x:v>지역성: 본점; 최근 12개월 블로그 85건</x:v>
      </x:c>
      <x:c r="G346" s="17" t="str">
        <x:v>대전광역시 서구 갈마동 969 2층 최애뭉티기</x:v>
      </x:c>
      <x:c r="H346" s="17" t="str">
        <x:v>대전광역시 서구 갈마중로 31 2층 최애뭉티기</x:v>
      </x:c>
      <x:c r="I346" s="18" t="e">
        <x:f>HYPERLINK("https://search.naver.com/search.naver?where=blog&amp;query=%EC%B5%9C%EC%95%A0%EB%AD%89%ED%8B%B0%EA%B8%B0+%EA%B0%88%EB%A7%88%EB%B3%B8%EC%A0%90+%EC%84%9C%EA%B5%AC","블로그 보기")</x:f>
        <x:v>HYPERLINK is not implemented. linkLocation=https://search.naver.com/search.naver?where=blog&amp;query=%EC%B5%9C%EC%95%A0%EB%AD%89%ED%8B%B0%EA%B8%B0+%EA%B0%88%EB%A7%88%EB%B3%B8%EC%A0%90+%EC%84%9C%EA%B5%AC, friendlyName=블로그 보기</x:v>
      </x:c>
      <x:c r="J346" s="18" t="str"/>
      <x:c r="K346" s="18" t="str"/>
      <x:c r="L346" s="17" t="str"/>
      <x:c r="M346" s="20" t="n">
        <x:v>46223</x:v>
      </x:c>
      <x:c r="N346" s="21" t="n">
        <x:v>85</x:v>
      </x:c>
      <x:c r="O346" s="21" t="n">
        <x:v>96</x:v>
      </x:c>
      <x:c r="P346" s="21" t="n">
        <x:v>362</x:v>
      </x:c>
      <x:c r="Q346" s="21" t="n">
        <x:v>1</x:v>
      </x:c>
      <x:c r="R346" s="21" t="n">
        <x:v>1</x:v>
      </x:c>
      <x:c r="S346" s="17" t="str">
        <x:v>갈마동 국밥</x:v>
      </x:c>
      <x:c r="T346" s="22" t="n">
        <x:v>36.3477515</x:v>
      </x:c>
      <x:c r="U346" s="22" t="n">
        <x:v>127.3727392</x:v>
      </x:c>
    </x:row>
    <x:row r="347" ht="32" customHeight="1">
      <x:c r="A347" s="18" t="str">
        <x:v>pending</x:v>
      </x:c>
      <x:c r="B347" s="18" t="str">
        <x:v>서구</x:v>
      </x:c>
      <x:c r="C347" s="17" t="str">
        <x:v>한상바오 와갈비 대전점</x:v>
      </x:c>
      <x:c r="D347" s="17" t="str">
        <x:v>한식&gt;육류,고기요리</x:v>
      </x:c>
      <x:c r="E347" s="19" t="n">
        <x:v>59</x:v>
      </x:c>
      <x:c r="F347" s="17" t="str">
        <x:v>지역성: 대전; 최근 12개월 블로그 100건</x:v>
      </x:c>
      <x:c r="G347" s="17" t="str">
        <x:v>대전광역시 서구 갈마동 1435 103호 한상바오 와갈비</x:v>
      </x:c>
      <x:c r="H347" s="17" t="str">
        <x:v>대전광역시 서구 대덕대로 164 103호 한상바오 와갈비</x:v>
      </x:c>
      <x:c r="I347" s="18" t="e">
        <x:f>HYPERLINK("https://search.naver.com/search.naver?where=blog&amp;query=%ED%95%9C%EC%83%81%EB%B0%94%EC%98%A4+%EC%99%80%EA%B0%88%EB%B9%84+%EB%8C%80%EC%A0%84%EC%A0%90+%EC%84%9C%EA%B5%AC","블로그 보기")</x:f>
        <x:v>HYPERLINK is not implemented. linkLocation=https://search.naver.com/search.naver?where=blog&amp;query=%ED%95%9C%EC%83%81%EB%B0%94%EC%98%A4+%EC%99%80%EA%B0%88%EB%B9%84+%EB%8C%80%EC%A0%84%EC%A0%90+%EC%84%9C%EA%B5%AC, friendlyName=블로그 보기</x:v>
      </x:c>
      <x:c r="J347" s="18" t="e">
        <x:f>HYPERLINK("https://www.instagram.com/hansangbaowagalbi_dj/","업체 보기")</x:f>
        <x:v>HYPERLINK is not implemented. linkLocation=https://www.instagram.com/hansangbaowagalbi_dj/, friendlyName=업체 보기</x:v>
      </x:c>
      <x:c r="K347" s="18" t="str"/>
      <x:c r="L347" s="17" t="str"/>
      <x:c r="M347" s="20" t="n">
        <x:v>46220</x:v>
      </x:c>
      <x:c r="N347" s="21" t="n">
        <x:v>100</x:v>
      </x:c>
      <x:c r="O347" s="21" t="n">
        <x:v>99</x:v>
      </x:c>
      <x:c r="P347" s="21" t="n">
        <x:v>220</x:v>
      </x:c>
      <x:c r="Q347" s="21" t="n">
        <x:v>1</x:v>
      </x:c>
      <x:c r="R347" s="21" t="n">
        <x:v>1</x:v>
      </x:c>
      <x:c r="S347" s="17" t="str">
        <x:v>갈마동 냉면</x:v>
      </x:c>
      <x:c r="T347" s="22" t="n">
        <x:v>36.3477936</x:v>
      </x:c>
      <x:c r="U347" s="22" t="n">
        <x:v>127.3766258</x:v>
      </x:c>
    </x:row>
    <x:row r="348" ht="32" customHeight="1">
      <x:c r="A348" s="18" t="str">
        <x:v>pending</x:v>
      </x:c>
      <x:c r="B348" s="18" t="str">
        <x:v>서구</x:v>
      </x:c>
      <x:c r="C348" s="17" t="str">
        <x:v>밤맛고을</x:v>
      </x:c>
      <x:c r="D348" s="17" t="str">
        <x:v>음식점&gt;한식</x:v>
      </x:c>
      <x:c r="E348" s="19" t="n">
        <x:v>58</x:v>
      </x:c>
      <x:c r="F348" s="17" t="str">
        <x:v>최근 12개월 블로그 94건</x:v>
      </x:c>
      <x:c r="G348" s="17" t="str">
        <x:v>대전광역시 서구 갈마동 343-30 1층 밤맛고을</x:v>
      </x:c>
      <x:c r="H348" s="17" t="str">
        <x:v>대전광역시 서구 갈마중로 13 1층 밤맛고을</x:v>
      </x:c>
      <x:c r="I348" s="18" t="e">
        <x:f>HYPERLINK("https://search.naver.com/search.naver?where=blog&amp;query=%EB%B0%A4%EB%A7%9B%EA%B3%A0%EC%9D%84+%EC%84%9C%EA%B5%AC","블로그 보기")</x:f>
        <x:v>HYPERLINK is not implemented. linkLocation=https://search.naver.com/search.naver?where=blog&amp;query=%EB%B0%A4%EB%A7%9B%EA%B3%A0%EC%9D%84+%EC%84%9C%EA%B5%AC, friendlyName=블로그 보기</x:v>
      </x:c>
      <x:c r="J348" s="18" t="str"/>
      <x:c r="K348" s="18" t="str"/>
      <x:c r="L348" s="17" t="str"/>
      <x:c r="M348" s="20" t="n">
        <x:v>46222</x:v>
      </x:c>
      <x:c r="N348" s="21" t="n">
        <x:v>94</x:v>
      </x:c>
      <x:c r="O348" s="21" t="n">
        <x:v>92</x:v>
      </x:c>
      <x:c r="P348" s="21" t="n">
        <x:v>400</x:v>
      </x:c>
      <x:c r="Q348" s="21" t="n">
        <x:v>2</x:v>
      </x:c>
      <x:c r="R348" s="21" t="n">
        <x:v>1</x:v>
      </x:c>
      <x:c r="S348" s="17" t="str">
        <x:v>갈마동 노포</x:v>
      </x:c>
      <x:c r="T348" s="22" t="n">
        <x:v>36.3478027</x:v>
      </x:c>
      <x:c r="U348" s="22" t="n">
        <x:v>127.3708628</x:v>
      </x:c>
    </x:row>
    <x:row r="349" ht="32" customHeight="1">
      <x:c r="A349" s="18" t="str">
        <x:v>pending</x:v>
      </x:c>
      <x:c r="B349" s="18" t="str">
        <x:v>서구</x:v>
      </x:c>
      <x:c r="C349" s="17" t="str">
        <x:v>샘머리김밥</x:v>
      </x:c>
      <x:c r="D349" s="17" t="str">
        <x:v>분식&gt;김밥</x:v>
      </x:c>
      <x:c r="E349" s="19" t="n">
        <x:v>58</x:v>
      </x:c>
      <x:c r="F349" s="17" t="str">
        <x:v>최근 12개월 블로그 45건</x:v>
      </x:c>
      <x:c r="G349" s="17" t="str">
        <x:v>대전광역시 서구 둔산동 908</x:v>
      </x:c>
      <x:c r="H349" s="17" t="str">
        <x:v>대전광역시 서구 청사로 281</x:v>
      </x:c>
      <x:c r="I349" s="18" t="e">
        <x:f>HYPERLINK("https://search.naver.com/search.naver?where=blog&amp;query=%EC%83%98%EB%A8%B8%EB%A6%AC%EA%B9%80%EB%B0%A5+%EC%84%9C%EA%B5%AC","블로그 보기")</x:f>
        <x:v>HYPERLINK is not implemented. linkLocation=https://search.naver.com/search.naver?where=blog&amp;query=%EC%83%98%EB%A8%B8%EB%A6%AC%EA%B9%80%EB%B0%A5+%EC%84%9C%EA%B5%AC, friendlyName=블로그 보기</x:v>
      </x:c>
      <x:c r="J349" s="18" t="e">
        <x:f>HYPERLINK("https://blog.naver.com/hmk860103","업체 보기")</x:f>
        <x:v>HYPERLINK is not implemented. linkLocation=https://blog.naver.com/hmk860103, friendlyName=업체 보기</x:v>
      </x:c>
      <x:c r="K349" s="18" t="str"/>
      <x:c r="L349" s="17" t="str"/>
      <x:c r="M349" s="20" t="n">
        <x:v>46220</x:v>
      </x:c>
      <x:c r="N349" s="21" t="n">
        <x:v>45</x:v>
      </x:c>
      <x:c r="O349" s="21" t="n">
        <x:v>84</x:v>
      </x:c>
      <x:c r="P349" s="21" t="n">
        <x:v>349</x:v>
      </x:c>
      <x:c r="Q349" s="21" t="n">
        <x:v>2</x:v>
      </x:c>
      <x:c r="R349" s="21" t="n">
        <x:v>1</x:v>
      </x:c>
      <x:c r="S349" s="17" t="str">
        <x:v>둔산동 분식</x:v>
      </x:c>
      <x:c r="T349" s="22" t="n">
        <x:v>36.3619545</x:v>
      </x:c>
      <x:c r="U349" s="22" t="n">
        <x:v>127.3913275</x:v>
      </x:c>
    </x:row>
    <x:row r="350" ht="32" customHeight="1">
      <x:c r="A350" s="18" t="str">
        <x:v>pending</x:v>
      </x:c>
      <x:c r="B350" s="18" t="str">
        <x:v>서구</x:v>
      </x:c>
      <x:c r="C350" s="17" t="str">
        <x:v>설천순대국밥</x:v>
      </x:c>
      <x:c r="D350" s="17" t="str">
        <x:v>한식&gt;순대,순댓국</x:v>
      </x:c>
      <x:c r="E350" s="19" t="n">
        <x:v>58</x:v>
      </x:c>
      <x:c r="F350" s="17" t="str">
        <x:v>최근 12개월 블로그 86건</x:v>
      </x:c>
      <x:c r="G350" s="17" t="str">
        <x:v>대전광역시 서구 둔산동 1353</x:v>
      </x:c>
      <x:c r="H350" s="17" t="str">
        <x:v>대전광역시 서구 둔산로51번길 66</x:v>
      </x:c>
      <x:c r="I350" s="18" t="e">
        <x:f>HYPERLINK("https://search.naver.com/search.naver?where=blog&amp;query=%EC%84%A4%EC%B2%9C%EC%88%9C%EB%8C%80%EA%B5%AD%EB%B0%A5+%EC%84%9C%EA%B5%AC","블로그 보기")</x:f>
        <x:v>HYPERLINK is not implemented. linkLocation=https://search.naver.com/search.naver?where=blog&amp;query=%EC%84%A4%EC%B2%9C%EC%88%9C%EB%8C%80%EA%B5%AD%EB%B0%A5+%EC%84%9C%EA%B5%AC, friendlyName=블로그 보기</x:v>
      </x:c>
      <x:c r="J350" s="18" t="str"/>
      <x:c r="K350" s="18" t="str"/>
      <x:c r="L350" s="17" t="str"/>
      <x:c r="M350" s="20" t="n">
        <x:v>46218</x:v>
      </x:c>
      <x:c r="N350" s="21" t="n">
        <x:v>86</x:v>
      </x:c>
      <x:c r="O350" s="21" t="n">
        <x:v>94</x:v>
      </x:c>
      <x:c r="P350" s="21" t="n">
        <x:v>366</x:v>
      </x:c>
      <x:c r="Q350" s="21" t="n">
        <x:v>2</x:v>
      </x:c>
      <x:c r="R350" s="21" t="n">
        <x:v>1</x:v>
      </x:c>
      <x:c r="S350" s="17" t="str">
        <x:v>둔산동 국밥</x:v>
      </x:c>
      <x:c r="T350" s="22" t="n">
        <x:v>36.3539957</x:v>
      </x:c>
      <x:c r="U350" s="22" t="n">
        <x:v>127.3805236</x:v>
      </x:c>
    </x:row>
    <x:row r="351" ht="32" customHeight="1">
      <x:c r="A351" s="18" t="str">
        <x:v>pending</x:v>
      </x:c>
      <x:c r="B351" s="18" t="str">
        <x:v>서구</x:v>
      </x:c>
      <x:c r="C351" s="17" t="str">
        <x:v>시골길내륙본점</x:v>
      </x:c>
      <x:c r="D351" s="17" t="str">
        <x:v>한식&gt;낙지요리</x:v>
      </x:c>
      <x:c r="E351" s="19" t="n">
        <x:v>58</x:v>
      </x:c>
      <x:c r="F351" s="17" t="str">
        <x:v>지역성: 본점; 최근 12개월 블로그 43건</x:v>
      </x:c>
      <x:c r="G351" s="17" t="str">
        <x:v>대전광역시 서구 둔산동 997</x:v>
      </x:c>
      <x:c r="H351" s="17" t="str">
        <x:v>대전광역시 서구 둔산로31번길 61</x:v>
      </x:c>
      <x:c r="I351" s="18" t="e">
        <x:f>HYPERLINK("https://search.naver.com/search.naver?where=blog&amp;query=%EC%8B%9C%EA%B3%A8%EA%B8%B8%EB%82%B4%EB%A5%99%EB%B3%B8%EC%A0%90+%EC%84%9C%EA%B5%AC","블로그 보기")</x:f>
        <x:v>HYPERLINK is not implemented. linkLocation=https://search.naver.com/search.naver?where=blog&amp;query=%EC%8B%9C%EA%B3%A8%EA%B8%B8%EB%82%B4%EB%A5%99%EB%B3%B8%EC%A0%90+%EC%84%9C%EA%B5%AC, friendlyName=블로그 보기</x:v>
      </x:c>
      <x:c r="J351" s="18" t="str"/>
      <x:c r="K351" s="18" t="str"/>
      <x:c r="L351" s="17" t="str"/>
      <x:c r="M351" s="20" t="n">
        <x:v>46191</x:v>
      </x:c>
      <x:c r="N351" s="21" t="n">
        <x:v>43</x:v>
      </x:c>
      <x:c r="O351" s="21" t="n">
        <x:v>97</x:v>
      </x:c>
      <x:c r="P351" s="21" t="n">
        <x:v>172</x:v>
      </x:c>
      <x:c r="Q351" s="21" t="n">
        <x:v>1</x:v>
      </x:c>
      <x:c r="R351" s="21" t="n">
        <x:v>1</x:v>
      </x:c>
      <x:c r="S351" s="17" t="str">
        <x:v>둔산동 해산물</x:v>
      </x:c>
      <x:c r="T351" s="22" t="n">
        <x:v>36.3544331</x:v>
      </x:c>
      <x:c r="U351" s="22" t="n">
        <x:v>127.3773613</x:v>
      </x:c>
    </x:row>
    <x:row r="352" ht="32" customHeight="1">
      <x:c r="A352" s="18" t="str">
        <x:v>pending</x:v>
      </x:c>
      <x:c r="B352" s="18" t="str">
        <x:v>서구</x:v>
      </x:c>
      <x:c r="C352" s="17" t="str">
        <x:v>육함</x:v>
      </x:c>
      <x:c r="D352" s="17" t="str">
        <x:v>한식&gt;돼지고기구이</x:v>
      </x:c>
      <x:c r="E352" s="19" t="n">
        <x:v>58</x:v>
      </x:c>
      <x:c r="F352" s="17" t="str">
        <x:v>최근 12개월 블로그 91건</x:v>
      </x:c>
      <x:c r="G352" s="17" t="str">
        <x:v>대전광역시 서구 갈마동 830 101,B01호</x:v>
      </x:c>
      <x:c r="H352" s="17" t="str">
        <x:v>대전광역시 서구 갈마역로 17 101,B01호</x:v>
      </x:c>
      <x:c r="I352" s="18" t="e">
        <x:f>HYPERLINK("https://search.naver.com/search.naver?where=blog&amp;query=%EC%9C%A1%ED%95%A8+%EC%84%9C%EA%B5%AC","블로그 보기")</x:f>
        <x:v>HYPERLINK is not implemented. linkLocation=https://search.naver.com/search.naver?where=blog&amp;query=%EC%9C%A1%ED%95%A8+%EC%84%9C%EA%B5%AC, friendlyName=블로그 보기</x:v>
      </x:c>
      <x:c r="J352" s="18" t="e">
        <x:f>HYPERLINK("https://www.instagram.com/yookham__","업체 보기")</x:f>
        <x:v>HYPERLINK is not implemented. linkLocation=https://www.instagram.com/yookham__, friendlyName=업체 보기</x:v>
      </x:c>
      <x:c r="K352" s="18" t="str"/>
      <x:c r="L352" s="17" t="str"/>
      <x:c r="M352" s="20" t="n">
        <x:v>46213</x:v>
      </x:c>
      <x:c r="N352" s="21" t="n">
        <x:v>91</x:v>
      </x:c>
      <x:c r="O352" s="21" t="n">
        <x:v>95</x:v>
      </x:c>
      <x:c r="P352" s="21" t="n">
        <x:v>251</x:v>
      </x:c>
      <x:c r="Q352" s="21" t="n">
        <x:v>2</x:v>
      </x:c>
      <x:c r="R352" s="21" t="n">
        <x:v>1</x:v>
      </x:c>
      <x:c r="S352" s="17" t="str">
        <x:v>갈마동 냉면</x:v>
      </x:c>
      <x:c r="T352" s="22" t="n">
        <x:v>36.3520764</x:v>
      </x:c>
      <x:c r="U352" s="22" t="n">
        <x:v>127.3736968</x:v>
      </x:c>
    </x:row>
    <x:row r="353" ht="32" customHeight="1">
      <x:c r="A353" s="18" t="str">
        <x:v>pending</x:v>
      </x:c>
      <x:c r="B353" s="18" t="str">
        <x:v>서구</x:v>
      </x:c>
      <x:c r="C353" s="17" t="str">
        <x:v>장원갑칼국수 둔산 갤러리아 타임월드점</x:v>
      </x:c>
      <x:c r="D353" s="17" t="str">
        <x:v>한식&gt;칼국수,만두</x:v>
      </x:c>
      <x:c r="E353" s="19" t="n">
        <x:v>58</x:v>
      </x:c>
      <x:c r="F353" s="17" t="str">
        <x:v>지역성: 칼국수; 최근 12개월 블로그 100건</x:v>
      </x:c>
      <x:c r="G353" s="17" t="str">
        <x:v>대전광역시 서구 둔산동 1127 1층 104호</x:v>
      </x:c>
      <x:c r="H353" s="17" t="str">
        <x:v>대전광역시 서구 대덕대로176번길 15 1층 104호</x:v>
      </x:c>
      <x:c r="I353" s="18" t="e">
        <x:f>HYPERLINK("https://search.naver.com/search.naver?where=blog&amp;query=%EC%9E%A5%EC%9B%90%EA%B0%91%EC%B9%BC%EA%B5%AD%EC%88%98+%EB%91%94%EC%82%B0+%EA%B0%A4%EB%9F%AC%EB%A6%AC%EC%95%84+%ED%83%80%EC%9E%84%EC%9B%94%EB%93%9C%EC%A0%90+%EC%84%9C%EA%B5%AC","블로그 보기")</x:f>
        <x:v>HYPERLINK is not implemented. linkLocation=https://search.naver.com/search.naver?where=blog&amp;query=%EC%9E%A5%EC%9B%90%EA%B0%91%EC%B9%BC%EA%B5%AD%EC%88%98+%EB%91%94%EC%82%B0+%EA%B0%A4%EB%9F%AC%EB%A6%AC%EC%95%84+%ED%83%80%EC%9E%84%EC%9B%94%EB%93%9C%EC%A0%90+%EC%84%9C%EA%B5%AC, friendlyName=블로그 보기</x:v>
      </x:c>
      <x:c r="J353" s="18" t="e">
        <x:f>HYPERLINK("https://www.instagram.com/jangwongab_dunsan/","업체 보기")</x:f>
        <x:v>HYPERLINK is not implemented. linkLocation=https://www.instagram.com/jangwongab_dunsan/, friendlyName=업체 보기</x:v>
      </x:c>
      <x:c r="K353" s="18" t="str"/>
      <x:c r="L353" s="17" t="str"/>
      <x:c r="M353" s="20" t="n">
        <x:v>46223</x:v>
      </x:c>
      <x:c r="N353" s="21" t="n">
        <x:v>100</x:v>
      </x:c>
      <x:c r="O353" s="21" t="n">
        <x:v>98</x:v>
      </x:c>
      <x:c r="P353" s="21" t="n">
        <x:v>1577</x:v>
      </x:c>
      <x:c r="Q353" s="21" t="n">
        <x:v>1</x:v>
      </x:c>
      <x:c r="R353" s="21" t="n">
        <x:v>0</x:v>
      </x:c>
      <x:c r="S353" s="17" t="str">
        <x:v>둔산동 칼국수</x:v>
      </x:c>
      <x:c r="T353" s="22" t="n">
        <x:v>36.3481886</x:v>
      </x:c>
      <x:c r="U353" s="22" t="n">
        <x:v>127.3778882</x:v>
      </x:c>
    </x:row>
    <x:row r="354" ht="32" customHeight="1">
      <x:c r="A354" s="18" t="str">
        <x:v>pending</x:v>
      </x:c>
      <x:c r="B354" s="18" t="str">
        <x:v>서구</x:v>
      </x:c>
      <x:c r="C354" s="17" t="str">
        <x:v>킨토토 대전점</x:v>
      </x:c>
      <x:c r="D354" s="17" t="str">
        <x:v>음식점&gt;일식&gt;일본식라면</x:v>
      </x:c>
      <x:c r="E354" s="19" t="n">
        <x:v>58</x:v>
      </x:c>
      <x:c r="F354" s="17" t="str">
        <x:v>지역성: 대전; 최근 12개월 블로그 13건</x:v>
      </x:c>
      <x:c r="G354" s="17" t="str">
        <x:v>대전광역시 서구 갈마동 273-19</x:v>
      </x:c>
      <x:c r="H354" s="17" t="str">
        <x:v>대전광역시 서구 계룡로 403</x:v>
      </x:c>
      <x:c r="I354" s="18" t="e">
        <x:f>HYPERLINK("https://search.naver.com/search.naver?where=blog&amp;query=%ED%82%A8%ED%86%A0%ED%86%A0+%EB%8C%80%EC%A0%84%EC%A0%90+%EC%84%9C%EA%B5%AC","블로그 보기")</x:f>
        <x:v>HYPERLINK is not implemented. linkLocation=https://search.naver.com/search.naver?where=blog&amp;query=%ED%82%A8%ED%86%A0%ED%86%A0+%EB%8C%80%EC%A0%84%EC%A0%90+%EC%84%9C%EA%B5%AC, friendlyName=블로그 보기</x:v>
      </x:c>
      <x:c r="J354" s="18" t="e">
        <x:f>HYPERLINK("http://instagram.com/KINTOTO_GALMA","업체 보기")</x:f>
        <x:v>HYPERLINK is not implemented. linkLocation=http://instagram.com/KINTOTO_GALMA, friendlyName=업체 보기</x:v>
      </x:c>
      <x:c r="K354" s="18" t="str"/>
      <x:c r="L354" s="17" t="str"/>
      <x:c r="M354" s="20" t="n">
        <x:v>46191</x:v>
      </x:c>
      <x:c r="N354" s="21" t="n">
        <x:v>13</x:v>
      </x:c>
      <x:c r="O354" s="21" t="n">
        <x:v>96</x:v>
      </x:c>
      <x:c r="P354" s="21" t="n">
        <x:v>172</x:v>
      </x:c>
      <x:c r="Q354" s="21" t="n">
        <x:v>1</x:v>
      </x:c>
      <x:c r="R354" s="21" t="n">
        <x:v>1</x:v>
      </x:c>
      <x:c r="S354" s="17" t="str">
        <x:v>갈마동 맛집</x:v>
      </x:c>
      <x:c r="T354" s="22" t="n">
        <x:v>36.3508933</x:v>
      </x:c>
      <x:c r="U354" s="22" t="n">
        <x:v>127.3728132</x:v>
      </x:c>
    </x:row>
    <x:row r="355" ht="32" customHeight="1">
      <x:c r="A355" s="18" t="str">
        <x:v>pending</x:v>
      </x:c>
      <x:c r="B355" s="18" t="str">
        <x:v>서구</x:v>
      </x:c>
      <x:c r="C355" s="17" t="str">
        <x:v>호박꽃마차 본점</x:v>
      </x:c>
      <x:c r="D355" s="17" t="str">
        <x:v>한식&gt;육류,고기요리</x:v>
      </x:c>
      <x:c r="E355" s="19" t="n">
        <x:v>58</x:v>
      </x:c>
      <x:c r="F355" s="17" t="str">
        <x:v>지역성: 본점; 최근 12개월 블로그 49건</x:v>
      </x:c>
      <x:c r="G355" s="17" t="str">
        <x:v>대전광역시 서구 갈마동 982 1층 호박꽃마차</x:v>
      </x:c>
      <x:c r="H355" s="17" t="str">
        <x:v>대전광역시 서구 대덕대로151번길 23 1층 호박꽃마차</x:v>
      </x:c>
      <x:c r="I355" s="18" t="e">
        <x:f>HYPERLINK("https://search.naver.com/search.naver?where=blog&amp;query=%ED%98%B8%EB%B0%95%EA%BD%83%EB%A7%88%EC%B0%A8+%EB%B3%B8%EC%A0%90+%EC%84%9C%EA%B5%AC","블로그 보기")</x:f>
        <x:v>HYPERLINK is not implemented. linkLocation=https://search.naver.com/search.naver?where=blog&amp;query=%ED%98%B8%EB%B0%95%EA%BD%83%EB%A7%88%EC%B0%A8+%EB%B3%B8%EC%A0%90+%EC%84%9C%EA%B5%AC, friendlyName=블로그 보기</x:v>
      </x:c>
      <x:c r="J355" s="18" t="e">
        <x:f>HYPERLINK("http://www.hbgmacha.com/","업체 보기")</x:f>
        <x:v>HYPERLINK is not implemented. linkLocation=http://www.hbgmacha.com/, friendlyName=업체 보기</x:v>
      </x:c>
      <x:c r="K355" s="18" t="str"/>
      <x:c r="L355" s="17" t="str"/>
      <x:c r="M355" s="20" t="n">
        <x:v>46221</x:v>
      </x:c>
      <x:c r="N355" s="21" t="n">
        <x:v>49</x:v>
      </x:c>
      <x:c r="O355" s="21" t="n">
        <x:v>99</x:v>
      </x:c>
      <x:c r="P355" s="21" t="n">
        <x:v>120</x:v>
      </x:c>
      <x:c r="Q355" s="21" t="n">
        <x:v>1</x:v>
      </x:c>
      <x:c r="R355" s="21" t="n">
        <x:v>1</x:v>
      </x:c>
      <x:c r="S355" s="17" t="str">
        <x:v>갈마동 한식</x:v>
      </x:c>
      <x:c r="T355" s="22" t="n">
        <x:v>36.3478389</x:v>
      </x:c>
      <x:c r="U355" s="22" t="n">
        <x:v>127.3736797</x:v>
      </x:c>
    </x:row>
    <x:row r="356" ht="32" customHeight="1">
      <x:c r="A356" s="18" t="str">
        <x:v>pending</x:v>
      </x:c>
      <x:c r="B356" s="18" t="str">
        <x:v>서구</x:v>
      </x:c>
      <x:c r="C356" s="17" t="str">
        <x:v>국밥 참 맛있는 집 대전시청점</x:v>
      </x:c>
      <x:c r="D356" s="17" t="str">
        <x:v>음식점&gt;한식&gt;국밥</x:v>
      </x:c>
      <x:c r="E356" s="19" t="n">
        <x:v>57</x:v>
      </x:c>
      <x:c r="F356" s="17" t="str">
        <x:v>지역성: 대전; 최근 12개월 블로그 72건</x:v>
      </x:c>
      <x:c r="G356" s="17" t="str">
        <x:v>대전광역시 서구 둔산동 1389 1층 101-3호</x:v>
      </x:c>
      <x:c r="H356" s="17" t="str">
        <x:v>대전광역시 서구 문예로 73 1층 101-3호</x:v>
      </x:c>
      <x:c r="I356" s="18" t="e">
        <x:f>HYPERLINK("https://search.naver.com/search.naver?where=blog&amp;query=%EA%B5%AD%EB%B0%A5+%EC%B0%B8+%EB%A7%9B%EC%9E%88%EB%8A%94+%EC%A7%91+%EB%8C%80%EC%A0%84%EC%8B%9C%EC%B2%AD%EC%A0%90+%EC%84%9C%EA%B5%AC","블로그 보기")</x:f>
        <x:v>HYPERLINK is not implemented. linkLocation=https://search.naver.com/search.naver?where=blog&amp;query=%EA%B5%AD%EB%B0%A5+%EC%B0%B8+%EB%A7%9B%EC%9E%88%EB%8A%94+%EC%A7%91+%EB%8C%80%EC%A0%84%EC%8B%9C%EC%B2%AD%EC%A0%90+%EC%84%9C%EA%B5%AC, friendlyName=블로그 보기</x:v>
      </x:c>
      <x:c r="J356" s="18" t="e">
        <x:f>HYPERLINK("https://www.gukcham.com/","업체 보기")</x:f>
        <x:v>HYPERLINK is not implemented. linkLocation=https://www.gukcham.com/, friendlyName=업체 보기</x:v>
      </x:c>
      <x:c r="K356" s="18" t="str"/>
      <x:c r="L356" s="17" t="str"/>
      <x:c r="M356" s="20" t="n">
        <x:v>46195</x:v>
      </x:c>
      <x:c r="N356" s="21" t="n">
        <x:v>72</x:v>
      </x:c>
      <x:c r="O356" s="21" t="n">
        <x:v>94</x:v>
      </x:c>
      <x:c r="P356" s="21" t="n">
        <x:v>515</x:v>
      </x:c>
      <x:c r="Q356" s="21" t="n">
        <x:v>1</x:v>
      </x:c>
      <x:c r="R356" s="21" t="n">
        <x:v>0</x:v>
      </x:c>
      <x:c r="S356" s="17" t="str">
        <x:v>둔산동 삼계탕</x:v>
      </x:c>
      <x:c r="T356" s="22" t="n">
        <x:v>36.3534359</x:v>
      </x:c>
      <x:c r="U356" s="22" t="n">
        <x:v>127.3897595</x:v>
      </x:c>
    </x:row>
    <x:row r="357" ht="32" customHeight="1">
      <x:c r="A357" s="18" t="str">
        <x:v>pending</x:v>
      </x:c>
      <x:c r="B357" s="18" t="str">
        <x:v>서구</x:v>
      </x:c>
      <x:c r="C357" s="17" t="str">
        <x:v>굴렁쇠막창</x:v>
      </x:c>
      <x:c r="D357" s="17" t="str">
        <x:v>한식&gt;곱창,막창,양</x:v>
      </x:c>
      <x:c r="E357" s="19" t="n">
        <x:v>57</x:v>
      </x:c>
      <x:c r="F357" s="17" t="str">
        <x:v>최근 12개월 블로그 42건</x:v>
      </x:c>
      <x:c r="G357" s="17" t="str">
        <x:v>대전광역시 서구 갈마동 343-55 1층 굴렁쇠막창</x:v>
      </x:c>
      <x:c r="H357" s="17" t="str">
        <x:v>대전광역시 서구 계룡로394번길 9 1층 굴렁쇠막창</x:v>
      </x:c>
      <x:c r="I357" s="18" t="e">
        <x:f>HYPERLINK("https://search.naver.com/search.naver?where=blog&amp;query=%EA%B5%B4%EB%A0%81%EC%87%A0%EB%A7%89%EC%B0%BD+%EC%84%9C%EA%B5%AC","블로그 보기")</x:f>
        <x:v>HYPERLINK is not implemented. linkLocation=https://search.naver.com/search.naver?where=blog&amp;query=%EA%B5%B4%EB%A0%81%EC%87%A0%EB%A7%89%EC%B0%BD+%EC%84%9C%EA%B5%AC, friendlyName=블로그 보기</x:v>
      </x:c>
      <x:c r="J357" s="18" t="str"/>
      <x:c r="K357" s="18" t="str"/>
      <x:c r="L357" s="17" t="str"/>
      <x:c r="M357" s="20" t="n">
        <x:v>46205</x:v>
      </x:c>
      <x:c r="N357" s="21" t="n">
        <x:v>42</x:v>
      </x:c>
      <x:c r="O357" s="21" t="n">
        <x:v>95</x:v>
      </x:c>
      <x:c r="P357" s="21" t="n">
        <x:v>142</x:v>
      </x:c>
      <x:c r="Q357" s="21" t="n">
        <x:v>2</x:v>
      </x:c>
      <x:c r="R357" s="21" t="n">
        <x:v>1</x:v>
      </x:c>
      <x:c r="S357" s="17" t="str">
        <x:v>갈마동 노포</x:v>
      </x:c>
      <x:c r="T357" s="22" t="n">
        <x:v>36.3507251</x:v>
      </x:c>
      <x:c r="U357" s="22" t="n">
        <x:v>127.3714278</x:v>
      </x:c>
    </x:row>
    <x:row r="358" ht="32" customHeight="1">
      <x:c r="A358" s="18" t="str">
        <x:v>pending</x:v>
      </x:c>
      <x:c r="B358" s="18" t="str">
        <x:v>서구</x:v>
      </x:c>
      <x:c r="C358" s="17" t="str">
        <x:v>백그릇국밥 대전법원점</x:v>
      </x:c>
      <x:c r="D358" s="17" t="str">
        <x:v>한식&gt;국밥</x:v>
      </x:c>
      <x:c r="E358" s="19" t="n">
        <x:v>57</x:v>
      </x:c>
      <x:c r="F358" s="17" t="str">
        <x:v>지역성: 대전; 최근 12개월 블로그 17건</x:v>
      </x:c>
      <x:c r="G358" s="17" t="str">
        <x:v>대전광역시 서구 둔산동 1483 이레빌딩 1층</x:v>
      </x:c>
      <x:c r="H358" s="17" t="str">
        <x:v>대전광역시 서구 둔산로137번길 22 이레빌딩 1층</x:v>
      </x:c>
      <x:c r="I358" s="18" t="e">
        <x:f>HYPERLINK("https://search.naver.com/search.naver?where=blog&amp;query=%EB%B0%B1%EA%B7%B8%EB%A6%87%EA%B5%AD%EB%B0%A5+%EB%8C%80%EC%A0%84%EB%B2%95%EC%9B%90%EC%A0%90+%EC%84%9C%EA%B5%AC","블로그 보기")</x:f>
        <x:v>HYPERLINK is not implemented. linkLocation=https://search.naver.com/search.naver?where=blog&amp;query=%EB%B0%B1%EA%B7%B8%EB%A6%87%EA%B5%AD%EB%B0%A5+%EB%8C%80%EC%A0%84%EB%B2%95%EC%9B%90%EC%A0%90+%EC%84%9C%EA%B5%AC, friendlyName=블로그 보기</x:v>
      </x:c>
      <x:c r="J358" s="18" t="e">
        <x:f>HYPERLINK("http://100gukbob.com","업체 보기")</x:f>
        <x:v>HYPERLINK is not implemented. linkLocation=http://100gukbob.com, friendlyName=업체 보기</x:v>
      </x:c>
      <x:c r="K358" s="18" t="str"/>
      <x:c r="L358" s="17" t="str"/>
      <x:c r="M358" s="20" t="n">
        <x:v>46182</x:v>
      </x:c>
      <x:c r="N358" s="21" t="n">
        <x:v>17</x:v>
      </x:c>
      <x:c r="O358" s="21" t="n">
        <x:v>96</x:v>
      </x:c>
      <x:c r="P358" s="21" t="n">
        <x:v>493</x:v>
      </x:c>
      <x:c r="Q358" s="21" t="n">
        <x:v>1</x:v>
      </x:c>
      <x:c r="R358" s="21" t="n">
        <x:v>0</x:v>
      </x:c>
      <x:c r="S358" s="17" t="str">
        <x:v>둔산동 국밥</x:v>
      </x:c>
      <x:c r="T358" s="22" t="n">
        <x:v>36.3523717</x:v>
      </x:c>
      <x:c r="U358" s="22" t="n">
        <x:v>127.389395</x:v>
      </x:c>
    </x:row>
    <x:row r="359" ht="32" customHeight="1">
      <x:c r="A359" s="18" t="str">
        <x:v>pending</x:v>
      </x:c>
      <x:c r="B359" s="18" t="str">
        <x:v>서구</x:v>
      </x:c>
      <x:c r="C359" s="17" t="str">
        <x:v>유미삼겹 숯불갈비</x:v>
      </x:c>
      <x:c r="D359" s="17" t="str">
        <x:v>한식&gt;돼지고기구이</x:v>
      </x:c>
      <x:c r="E359" s="19" t="n">
        <x:v>57</x:v>
      </x:c>
      <x:c r="F359" s="17" t="str">
        <x:v>최근 12개월 블로그 100건</x:v>
      </x:c>
      <x:c r="G359" s="17" t="str">
        <x:v>대전광역시 서구 갈마동 1496 1층 유미삼겹 숯불갈비</x:v>
      </x:c>
      <x:c r="H359" s="17" t="str">
        <x:v>대전광역시 서구 신갈마로 186 1층 유미삼겹 숯불갈비</x:v>
      </x:c>
      <x:c r="I359" s="18" t="e">
        <x:f>HYPERLINK("https://search.naver.com/search.naver?where=blog&amp;query=%EC%9C%A0%EB%AF%B8%EC%82%BC%EA%B2%B9+%EC%88%AF%EB%B6%88%EA%B0%88%EB%B9%84+%EC%84%9C%EA%B5%AC","블로그 보기")</x:f>
        <x:v>HYPERLINK is not implemented. linkLocation=https://search.naver.com/search.naver?where=blog&amp;query=%EC%9C%A0%EB%AF%B8%EC%82%BC%EA%B2%B9+%EC%88%AF%EB%B6%88%EA%B0%88%EB%B9%84+%EC%84%9C%EA%B5%AC, friendlyName=블로그 보기</x:v>
      </x:c>
      <x:c r="J359" s="18" t="e">
        <x:f>HYPERLINK("https://www.instagram.com/ume_bbq/","업체 보기")</x:f>
        <x:v>HYPERLINK is not implemented. linkLocation=https://www.instagram.com/ume_bbq/, friendlyName=업체 보기</x:v>
      </x:c>
      <x:c r="K359" s="18" t="str"/>
      <x:c r="L359" s="17" t="str"/>
      <x:c r="M359" s="20" t="n">
        <x:v>46223</x:v>
      </x:c>
      <x:c r="N359" s="21" t="n">
        <x:v>100</x:v>
      </x:c>
      <x:c r="O359" s="21" t="n">
        <x:v>81</x:v>
      </x:c>
      <x:c r="P359" s="21" t="n">
        <x:v>3441</x:v>
      </x:c>
      <x:c r="Q359" s="21" t="n">
        <x:v>1</x:v>
      </x:c>
      <x:c r="R359" s="21" t="n">
        <x:v>1</x:v>
      </x:c>
      <x:c r="S359" s="17" t="str">
        <x:v>갈마동 냉면</x:v>
      </x:c>
      <x:c r="T359" s="22" t="n">
        <x:v>36.3510765</x:v>
      </x:c>
      <x:c r="U359" s="22" t="n">
        <x:v>127.368352</x:v>
      </x:c>
    </x:row>
    <x:row r="360" ht="32" customHeight="1">
      <x:c r="A360" s="18" t="str">
        <x:v>pending</x:v>
      </x:c>
      <x:c r="B360" s="18" t="str">
        <x:v>서구</x:v>
      </x:c>
      <x:c r="C360" s="17" t="str">
        <x:v>주감 본점</x:v>
      </x:c>
      <x:c r="D360" s="17" t="str">
        <x:v>술집&gt;요리주점</x:v>
      </x:c>
      <x:c r="E360" s="19" t="n">
        <x:v>57</x:v>
      </x:c>
      <x:c r="F360" s="17" t="str">
        <x:v>지역성: 본점; 최근 12개월 블로그 29건</x:v>
      </x:c>
      <x:c r="G360" s="17" t="str">
        <x:v>대전광역시 서구 갈마동 855 1층 주감</x:v>
      </x:c>
      <x:c r="H360" s="17" t="str">
        <x:v>대전광역시 서구 갈마역로25번길 17-17 1층 주감</x:v>
      </x:c>
      <x:c r="I360" s="18" t="e">
        <x:f>HYPERLINK("https://search.naver.com/search.naver?where=blog&amp;query=%EC%A3%BC%EA%B0%90+%EB%B3%B8%EC%A0%90+%EC%84%9C%EA%B5%AC","블로그 보기")</x:f>
        <x:v>HYPERLINK is not implemented. linkLocation=https://search.naver.com/search.naver?where=blog&amp;query=%EC%A3%BC%EA%B0%90+%EB%B3%B8%EC%A0%90+%EC%84%9C%EA%B5%AC, friendlyName=블로그 보기</x:v>
      </x:c>
      <x:c r="J360" s="18" t="e">
        <x:f>HYPERLINK("https://www.instagram.com/jugam_daejeon","업체 보기")</x:f>
        <x:v>HYPERLINK is not implemented. linkLocation=https://www.instagram.com/jugam_daejeon, friendlyName=업체 보기</x:v>
      </x:c>
      <x:c r="K360" s="18" t="str"/>
      <x:c r="L360" s="17" t="str"/>
      <x:c r="M360" s="20" t="n">
        <x:v>46212</x:v>
      </x:c>
      <x:c r="N360" s="21" t="n">
        <x:v>29</x:v>
      </x:c>
      <x:c r="O360" s="21" t="n">
        <x:v>69</x:v>
      </x:c>
      <x:c r="P360" s="21" t="n">
        <x:v>72</x:v>
      </x:c>
      <x:c r="Q360" s="21" t="n">
        <x:v>1</x:v>
      </x:c>
      <x:c r="R360" s="21" t="n">
        <x:v>1</x:v>
      </x:c>
      <x:c r="S360" s="17" t="str">
        <x:v>갈마동 칼국수</x:v>
      </x:c>
      <x:c r="T360" s="22" t="n">
        <x:v>36.3520252</x:v>
      </x:c>
      <x:c r="U360" s="22" t="n">
        <x:v>127.3728983</x:v>
      </x:c>
    </x:row>
    <x:row r="361" ht="32" customHeight="1">
      <x:c r="A361" s="18" t="str">
        <x:v>pending</x:v>
      </x:c>
      <x:c r="B361" s="18" t="str">
        <x:v>서구</x:v>
      </x:c>
      <x:c r="C361" s="17" t="str">
        <x:v>푸짐한조개찜</x:v>
      </x:c>
      <x:c r="D361" s="17" t="str">
        <x:v>한식&gt;조개요리</x:v>
      </x:c>
      <x:c r="E361" s="19" t="n">
        <x:v>57</x:v>
      </x:c>
      <x:c r="F361" s="17" t="str">
        <x:v>최근 12개월 블로그 100건</x:v>
      </x:c>
      <x:c r="G361" s="17" t="str">
        <x:v>대전광역시 서구 갈마동 261-1</x:v>
      </x:c>
      <x:c r="H361" s="17" t="str">
        <x:v>대전광역시 서구 월평중로4번길 74</x:v>
      </x:c>
      <x:c r="I361" s="18" t="e">
        <x:f>HYPERLINK("https://search.naver.com/search.naver?where=blog&amp;query=%ED%91%B8%EC%A7%90%ED%95%9C%EC%A1%B0%EA%B0%9C%EC%B0%9C+%EC%84%9C%EA%B5%AC","블로그 보기")</x:f>
        <x:v>HYPERLINK is not implemented. linkLocation=https://search.naver.com/search.naver?where=blog&amp;query=%ED%91%B8%EC%A7%90%ED%95%9C%EC%A1%B0%EA%B0%9C%EC%B0%9C+%EC%84%9C%EA%B5%AC, friendlyName=블로그 보기</x:v>
      </x:c>
      <x:c r="J361" s="18" t="e">
        <x:f>HYPERLINK("http://ok114.co.kr/0424717026","업체 보기")</x:f>
        <x:v>HYPERLINK is not implemented. linkLocation=http://ok114.co.kr/0424717026, friendlyName=업체 보기</x:v>
      </x:c>
      <x:c r="K361" s="18" t="str"/>
      <x:c r="L361" s="17" t="str"/>
      <x:c r="M361" s="20" t="n">
        <x:v>46223</x:v>
      </x:c>
      <x:c r="N361" s="21" t="n">
        <x:v>100</x:v>
      </x:c>
      <x:c r="O361" s="21" t="n">
        <x:v>94</x:v>
      </x:c>
      <x:c r="P361" s="21" t="n">
        <x:v>3041</x:v>
      </x:c>
      <x:c r="Q361" s="21" t="n">
        <x:v>1</x:v>
      </x:c>
      <x:c r="R361" s="21" t="n">
        <x:v>1</x:v>
      </x:c>
      <x:c r="S361" s="17" t="str">
        <x:v>갈마동 칼국수</x:v>
      </x:c>
      <x:c r="T361" s="22" t="n">
        <x:v>36.3541444</x:v>
      </x:c>
      <x:c r="U361" s="22" t="n">
        <x:v>127.3679769</x:v>
      </x:c>
    </x:row>
    <x:row r="362" ht="32" customHeight="1">
      <x:c r="A362" s="18" t="str">
        <x:v>pending</x:v>
      </x:c>
      <x:c r="B362" s="18" t="str">
        <x:v>서구</x:v>
      </x:c>
      <x:c r="C362" s="17" t="str">
        <x:v>길가옆에누룽지삼계탕 서구점</x:v>
      </x:c>
      <x:c r="D362" s="17" t="str">
        <x:v>한식&gt;백숙,삼계탕</x:v>
      </x:c>
      <x:c r="E362" s="19" t="n">
        <x:v>56</x:v>
      </x:c>
      <x:c r="F362" s="17" t="str">
        <x:v>최근 12개월 블로그 8건</x:v>
      </x:c>
      <x:c r="G362" s="17" t="str">
        <x:v>대전광역시 서구 갈마동 263-49</x:v>
      </x:c>
      <x:c r="H362" s="17" t="str">
        <x:v>대전광역시 서구 월평중로4번길 77</x:v>
      </x:c>
      <x:c r="I362" s="18" t="e">
        <x:f>HYPERLINK("https://search.naver.com/search.naver?where=blog&amp;query=%EA%B8%B8%EA%B0%80%EC%98%86%EC%97%90%EB%88%84%EB%A3%BD%EC%A7%80%EC%82%BC%EA%B3%84%ED%83%95+%EC%84%9C%EA%B5%AC%EC%A0%90+%EC%84%9C%EA%B5%AC","블로그 보기")</x:f>
        <x:v>HYPERLINK is not implemented. linkLocation=https://search.naver.com/search.naver?where=blog&amp;query=%EA%B8%B8%EA%B0%80%EC%98%86%EC%97%90%EB%88%84%EB%A3%BD%EC%A7%80%EC%82%BC%EA%B3%84%ED%83%95+%EC%84%9C%EA%B5%AC%EC%A0%90+%EC%84%9C%EA%B5%AC, friendlyName=블로그 보기</x:v>
      </x:c>
      <x:c r="J362" s="18" t="e">
        <x:f>HYPERLINK("http://gilgayeope.com/","업체 보기")</x:f>
        <x:v>HYPERLINK is not implemented. linkLocation=http://gilgayeope.com/, friendlyName=업체 보기</x:v>
      </x:c>
      <x:c r="K362" s="18" t="str"/>
      <x:c r="L362" s="17" t="str"/>
      <x:c r="M362" s="20" t="n">
        <x:v>46210</x:v>
      </x:c>
      <x:c r="N362" s="21" t="n">
        <x:v>8</x:v>
      </x:c>
      <x:c r="O362" s="21" t="n">
        <x:v>39</x:v>
      </x:c>
      <x:c r="P362" s="21" t="n">
        <x:v>51</x:v>
      </x:c>
      <x:c r="Q362" s="21" t="n">
        <x:v>2</x:v>
      </x:c>
      <x:c r="R362" s="21" t="n">
        <x:v>1</x:v>
      </x:c>
      <x:c r="S362" s="17" t="str">
        <x:v>갈마동 삼계탕</x:v>
      </x:c>
      <x:c r="T362" s="22" t="n">
        <x:v>36.354289</x:v>
      </x:c>
      <x:c r="U362" s="22" t="n">
        <x:v>127.3683204</x:v>
      </x:c>
    </x:row>
    <x:row r="363" ht="32" customHeight="1">
      <x:c r="A363" s="18" t="str">
        <x:v>pending</x:v>
      </x:c>
      <x:c r="B363" s="18" t="str">
        <x:v>서구</x:v>
      </x:c>
      <x:c r="C363" s="17" t="str">
        <x:v>담온식당</x:v>
      </x:c>
      <x:c r="D363" s="17" t="str">
        <x:v>음식점&gt;한식</x:v>
      </x:c>
      <x:c r="E363" s="19" t="n">
        <x:v>56</x:v>
      </x:c>
      <x:c r="F363" s="17" t="str">
        <x:v>최근 12개월 블로그 100건</x:v>
      </x:c>
      <x:c r="G363" s="17" t="str">
        <x:v>대전광역시 서구 둔산동 1407 1층 107호</x:v>
      </x:c>
      <x:c r="H363" s="17" t="str">
        <x:v>대전광역시 서구 둔산로123번길 21 1층 107호</x:v>
      </x:c>
      <x:c r="I363" s="18" t="e">
        <x:f>HYPERLINK("https://search.naver.com/search.naver?where=blog&amp;query=%EB%8B%B4%EC%98%A8%EC%8B%9D%EB%8B%B9+%EC%84%9C%EA%B5%AC","블로그 보기")</x:f>
        <x:v>HYPERLINK is not implemented. linkLocation=https://search.naver.com/search.naver?where=blog&amp;query=%EB%8B%B4%EC%98%A8%EC%8B%9D%EB%8B%B9+%EC%84%9C%EA%B5%AC, friendlyName=블로그 보기</x:v>
      </x:c>
      <x:c r="J363" s="18" t="e">
        <x:f>HYPERLINK("https://blog.naver.com/mac2y2","업체 보기")</x:f>
        <x:v>HYPERLINK is not implemented. linkLocation=https://blog.naver.com/mac2y2, friendlyName=업체 보기</x:v>
      </x:c>
      <x:c r="K363" s="18" t="str"/>
      <x:c r="L363" s="17" t="str"/>
      <x:c r="M363" s="20" t="n">
        <x:v>46222</x:v>
      </x:c>
      <x:c r="N363" s="21" t="n">
        <x:v>100</x:v>
      </x:c>
      <x:c r="O363" s="21" t="n">
        <x:v>95</x:v>
      </x:c>
      <x:c r="P363" s="21" t="n">
        <x:v>746</x:v>
      </x:c>
      <x:c r="Q363" s="21" t="n">
        <x:v>2</x:v>
      </x:c>
      <x:c r="R363" s="21" t="n">
        <x:v>0</x:v>
      </x:c>
      <x:c r="S363" s="17" t="str">
        <x:v>둔산동 칼국수 | 둔산동 한식</x:v>
      </x:c>
      <x:c r="T363" s="22" t="n">
        <x:v>36.352251</x:v>
      </x:c>
      <x:c r="U363" s="22" t="n">
        <x:v>127.3872557</x:v>
      </x:c>
    </x:row>
    <x:row r="364" ht="32" customHeight="1">
      <x:c r="A364" s="18" t="str">
        <x:v>pending</x:v>
      </x:c>
      <x:c r="B364" s="18" t="str">
        <x:v>서구</x:v>
      </x:c>
      <x:c r="C364" s="17" t="str">
        <x:v>산더미 미성돼지국밥 대전둔산점</x:v>
      </x:c>
      <x:c r="D364" s="17" t="str">
        <x:v>한식&gt;국밥</x:v>
      </x:c>
      <x:c r="E364" s="19" t="n">
        <x:v>56</x:v>
      </x:c>
      <x:c r="F364" s="17" t="str">
        <x:v>지역성: 대전; 최근 12개월 블로그 100건</x:v>
      </x:c>
      <x:c r="G364" s="17" t="str">
        <x:v>대전광역시 서구 둔산동 1456 1층 102호</x:v>
      </x:c>
      <x:c r="H364" s="17" t="str">
        <x:v>대전광역시 서구 둔산로 129 1층 102호</x:v>
      </x:c>
      <x:c r="I364" s="18" t="e">
        <x:f>HYPERLINK("https://search.naver.com/search.naver?where=blog&amp;query=%EC%82%B0%EB%8D%94%EB%AF%B8+%EB%AF%B8%EC%84%B1%EB%8F%BC%EC%A7%80%EA%B5%AD%EB%B0%A5+%EB%8C%80%EC%A0%84%EB%91%94%EC%82%B0%EC%A0%90+%EC%84%9C%EA%B5%AC","블로그 보기")</x:f>
        <x:v>HYPERLINK is not implemented. linkLocation=https://search.naver.com/search.naver?where=blog&amp;query=%EC%82%B0%EB%8D%94%EB%AF%B8+%EB%AF%B8%EC%84%B1%EB%8F%BC%EC%A7%80%EA%B5%AD%EB%B0%A5+%EB%8C%80%EC%A0%84%EB%91%94%EC%82%B0%EC%A0%90+%EC%84%9C%EA%B5%AC, friendlyName=블로그 보기</x:v>
      </x:c>
      <x:c r="J364" s="18" t="e">
        <x:f>HYPERLINK("https://sandeomimiseong.com","업체 보기")</x:f>
        <x:v>HYPERLINK is not implemented. linkLocation=https://sandeomimiseong.com, friendlyName=업체 보기</x:v>
      </x:c>
      <x:c r="K364" s="18" t="str"/>
      <x:c r="L364" s="17" t="str"/>
      <x:c r="M364" s="20" t="n">
        <x:v>46222</x:v>
      </x:c>
      <x:c r="N364" s="21" t="n">
        <x:v>100</x:v>
      </x:c>
      <x:c r="O364" s="21" t="n">
        <x:v>93</x:v>
      </x:c>
      <x:c r="P364" s="21" t="n">
        <x:v>309</x:v>
      </x:c>
      <x:c r="Q364" s="21" t="n">
        <x:v>1</x:v>
      </x:c>
      <x:c r="R364" s="21" t="n">
        <x:v>0</x:v>
      </x:c>
      <x:c r="S364" s="17" t="str">
        <x:v>둔산동 국밥</x:v>
      </x:c>
      <x:c r="T364" s="22" t="n">
        <x:v>36.3517027</x:v>
      </x:c>
      <x:c r="U364" s="22" t="n">
        <x:v>127.3882086</x:v>
      </x:c>
    </x:row>
    <x:row r="365" ht="32" customHeight="1">
      <x:c r="A365" s="18" t="str">
        <x:v>pending</x:v>
      </x:c>
      <x:c r="B365" s="18" t="str">
        <x:v>서구</x:v>
      </x:c>
      <x:c r="C365" s="17" t="str">
        <x:v>수복삼계탕 둔산점</x:v>
      </x:c>
      <x:c r="D365" s="17" t="str">
        <x:v>한식&gt;백숙,삼계탕</x:v>
      </x:c>
      <x:c r="E365" s="19" t="n">
        <x:v>56</x:v>
      </x:c>
      <x:c r="F365" s="17" t="str">
        <x:v>최근 12개월 블로그 39건</x:v>
      </x:c>
      <x:c r="G365" s="17" t="str">
        <x:v>대전광역시 서구 둔산동 1405 메트로팰리스 1층 109호,110호</x:v>
      </x:c>
      <x:c r="H365" s="17" t="str">
        <x:v>대전광역시 서구 둔산중로 66 메트로팰리스 1층 109호,110호</x:v>
      </x:c>
      <x:c r="I365" s="18" t="e">
        <x:f>HYPERLINK("https://search.naver.com/search.naver?where=blog&amp;query=%EC%88%98%EB%B3%B5%EC%82%BC%EA%B3%84%ED%83%95+%EB%91%94%EC%82%B0%EC%A0%90+%EC%84%9C%EA%B5%AC","블로그 보기")</x:f>
        <x:v>HYPERLINK is not implemented. linkLocation=https://search.naver.com/search.naver?where=blog&amp;query=%EC%88%98%EB%B3%B5%EC%82%BC%EA%B3%84%ED%83%95+%EB%91%94%EC%82%B0%EC%A0%90+%EC%84%9C%EA%B5%AC, friendlyName=블로그 보기</x:v>
      </x:c>
      <x:c r="J365" s="18" t="e">
        <x:f>HYPERLINK("https://본수복삼계탕.com/","업체 보기")</x:f>
        <x:v>HYPERLINK is not implemented. linkLocation=https://본수복삼계탕.com/, friendlyName=업체 보기</x:v>
      </x:c>
      <x:c r="K365" s="18" t="str"/>
      <x:c r="L365" s="17" t="str"/>
      <x:c r="M365" s="20" t="n">
        <x:v>46157</x:v>
      </x:c>
      <x:c r="N365" s="21" t="n">
        <x:v>39</x:v>
      </x:c>
      <x:c r="O365" s="21" t="n">
        <x:v>51</x:v>
      </x:c>
      <x:c r="P365" s="21" t="n">
        <x:v>58</x:v>
      </x:c>
      <x:c r="Q365" s="21" t="n">
        <x:v>2</x:v>
      </x:c>
      <x:c r="R365" s="21" t="n">
        <x:v>1</x:v>
      </x:c>
      <x:c r="S365" s="17" t="str">
        <x:v>둔산동 삼계탕</x:v>
      </x:c>
      <x:c r="T365" s="22" t="n">
        <x:v>36.3525073</x:v>
      </x:c>
      <x:c r="U365" s="22" t="n">
        <x:v>127.3872672</x:v>
      </x:c>
    </x:row>
    <x:row r="366" ht="32" customHeight="1">
      <x:c r="A366" s="18" t="str">
        <x:v>pending</x:v>
      </x:c>
      <x:c r="B366" s="18" t="str">
        <x:v>서구</x:v>
      </x:c>
      <x:c r="C366" s="17" t="str">
        <x:v>오씨칼국수 둔산점</x:v>
      </x:c>
      <x:c r="D366" s="17" t="str">
        <x:v>한식&gt;칼국수,만두</x:v>
      </x:c>
      <x:c r="E366" s="19" t="n">
        <x:v>56</x:v>
      </x:c>
      <x:c r="F366" s="17" t="str">
        <x:v>지역성: 칼국수; 최근 12개월 블로그 86건</x:v>
      </x:c>
      <x:c r="G366" s="17" t="str">
        <x:v>대전광역시 서구 둔산동 1304 근로자종합복지관지하 1층</x:v>
      </x:c>
      <x:c r="H366" s="17" t="str">
        <x:v>대전광역시 서구 둔산서로 84 (둔산동,근로자종합복지관)지하 1층</x:v>
      </x:c>
      <x:c r="I366" s="18" t="e">
        <x:f>HYPERLINK("https://search.naver.com/search.naver?where=blog&amp;query=%EC%98%A4%EC%94%A8%EC%B9%BC%EA%B5%AD%EC%88%98+%EB%91%94%EC%82%B0%EC%A0%90+%EB%91%94%EC%82%B0%EB%8F%99","블로그 보기")</x:f>
        <x:v>HYPERLINK is not implemented. linkLocation=https://search.naver.com/search.naver?where=blog&amp;query=%EC%98%A4%EC%94%A8%EC%B9%BC%EA%B5%AD%EC%88%98+%EB%91%94%EC%82%B0%EC%A0%90+%EB%91%94%EC%82%B0%EB%8F%99, friendlyName=블로그 보기</x:v>
      </x:c>
      <x:c r="J366" s="18" t="str"/>
      <x:c r="K366" s="18" t="str"/>
      <x:c r="L366" s="17" t="str"/>
      <x:c r="M366" s="20" t="n">
        <x:v>46222</x:v>
      </x:c>
      <x:c r="N366" s="21" t="n">
        <x:v>86</x:v>
      </x:c>
      <x:c r="O366" s="21" t="n">
        <x:v>100</x:v>
      </x:c>
      <x:c r="P366" s="21" t="n">
        <x:v>283</x:v>
      </x:c>
      <x:c r="Q366" s="21" t="n">
        <x:v>1</x:v>
      </x:c>
      <x:c r="R366" s="21" t="n">
        <x:v>0</x:v>
      </x:c>
      <x:c r="S366" s="17" t="str">
        <x:v>둔산동 칼국수</x:v>
      </x:c>
      <x:c r="T366" s="22" t="n">
        <x:v>36.3543011</x:v>
      </x:c>
      <x:c r="U366" s="22" t="n">
        <x:v>127.3833078</x:v>
      </x:c>
    </x:row>
    <x:row r="367" ht="32" customHeight="1">
      <x:c r="A367" s="18" t="str">
        <x:v>pending</x:v>
      </x:c>
      <x:c r="B367" s="18" t="str">
        <x:v>서구</x:v>
      </x:c>
      <x:c r="C367" s="17" t="str">
        <x:v>택이네조개전골 대전시청점</x:v>
      </x:c>
      <x:c r="D367" s="17" t="str">
        <x:v>음식점&gt;한식&gt;해물,생선요리&gt;조개요리</x:v>
      </x:c>
      <x:c r="E367" s="19" t="n">
        <x:v>56</x:v>
      </x:c>
      <x:c r="F367" s="17" t="str">
        <x:v>지역성: 대전; 최근 12개월 블로그 44건</x:v>
      </x:c>
      <x:c r="G367" s="17" t="str">
        <x:v>대전광역시 서구 둔산동 1429 SH빌딩 1층</x:v>
      </x:c>
      <x:c r="H367" s="17" t="str">
        <x:v>대전광역시 서구 둔산남로 99 SH빌딩 1층</x:v>
      </x:c>
      <x:c r="I367" s="18" t="e">
        <x:f>HYPERLINK("https://search.naver.com/search.naver?where=blog&amp;query=%ED%83%9D%EC%9D%B4%EB%84%A4%EC%A1%B0%EA%B0%9C%EC%A0%84%EA%B3%A8+%EB%8C%80%EC%A0%84%EC%8B%9C%EC%B2%AD%EC%A0%90+%EC%84%9C%EA%B5%AC","블로그 보기")</x:f>
        <x:v>HYPERLINK is not implemented. linkLocation=https://search.naver.com/search.naver?where=blog&amp;query=%ED%83%9D%EC%9D%B4%EB%84%A4%EC%A1%B0%EA%B0%9C%EC%A0%84%EA%B3%A8+%EB%8C%80%EC%A0%84%EC%8B%9C%EC%B2%AD%EC%A0%90+%EC%84%9C%EA%B5%AC, friendlyName=블로그 보기</x:v>
      </x:c>
      <x:c r="J367" s="18" t="str"/>
      <x:c r="K367" s="18" t="str"/>
      <x:c r="L367" s="17" t="str"/>
      <x:c r="M367" s="20" t="n">
        <x:v>46220</x:v>
      </x:c>
      <x:c r="N367" s="21" t="n">
        <x:v>44</x:v>
      </x:c>
      <x:c r="O367" s="21" t="n">
        <x:v>97</x:v>
      </x:c>
      <x:c r="P367" s="21" t="n">
        <x:v>293</x:v>
      </x:c>
      <x:c r="Q367" s="21" t="n">
        <x:v>1</x:v>
      </x:c>
      <x:c r="R367" s="21" t="n">
        <x:v>0</x:v>
      </x:c>
      <x:c r="S367" s="17" t="str">
        <x:v>둔산동 해산물</x:v>
      </x:c>
      <x:c r="T367" s="22" t="n">
        <x:v>36.3491996</x:v>
      </x:c>
      <x:c r="U367" s="22" t="n">
        <x:v>127.388603</x:v>
      </x:c>
    </x:row>
    <x:row r="368" ht="32" customHeight="1">
      <x:c r="A368" s="18" t="str">
        <x:v>pending</x:v>
      </x:c>
      <x:c r="B368" s="18" t="str">
        <x:v>서구</x:v>
      </x:c>
      <x:c r="C368" s="17" t="str">
        <x:v>담라 둔산본점</x:v>
      </x:c>
      <x:c r="D368" s="17" t="str">
        <x:v>음식점&gt;한식</x:v>
      </x:c>
      <x:c r="E368" s="19" t="n">
        <x:v>55</x:v>
      </x:c>
      <x:c r="F368" s="17" t="str">
        <x:v>지역성: 본점; 최근 12개월 블로그 100건</x:v>
      </x:c>
      <x:c r="G368" s="17" t="str">
        <x:v>대전광역시 서구 둔산동 1488 2층</x:v>
      </x:c>
      <x:c r="H368" s="17" t="str">
        <x:v>대전광역시 서구 둔산남로105번길 34 2층</x:v>
      </x:c>
      <x:c r="I368" s="18" t="e">
        <x:f>HYPERLINK("https://search.naver.com/search.naver?where=blog&amp;query=%EB%8B%B4%EB%9D%BC+%EB%91%94%EC%82%B0%EB%B3%B8%EC%A0%90+%EC%84%9C%EA%B5%AC","블로그 보기")</x:f>
        <x:v>HYPERLINK is not implemented. linkLocation=https://search.naver.com/search.naver?where=blog&amp;query=%EB%8B%B4%EB%9D%BC+%EB%91%94%EC%82%B0%EB%B3%B8%EC%A0%90+%EC%84%9C%EA%B5%AC, friendlyName=블로그 보기</x:v>
      </x:c>
      <x:c r="J368" s="18" t="e">
        <x:f>HYPERLINK("https://www.instagram.com/damra_means_jeju","업체 보기")</x:f>
        <x:v>HYPERLINK is not implemented. linkLocation=https://www.instagram.com/damra_means_jeju, friendlyName=업체 보기</x:v>
      </x:c>
      <x:c r="K368" s="18" t="str"/>
      <x:c r="L368" s="17" t="str"/>
      <x:c r="M368" s="20" t="n">
        <x:v>46222</x:v>
      </x:c>
      <x:c r="N368" s="21" t="n">
        <x:v>100</x:v>
      </x:c>
      <x:c r="O368" s="21" t="n">
        <x:v>97</x:v>
      </x:c>
      <x:c r="P368" s="21" t="n">
        <x:v>129</x:v>
      </x:c>
      <x:c r="Q368" s="21" t="n">
        <x:v>1</x:v>
      </x:c>
      <x:c r="R368" s="21" t="n">
        <x:v>0</x:v>
      </x:c>
      <x:c r="S368" s="17" t="str">
        <x:v>둔산동 냉면</x:v>
      </x:c>
      <x:c r="T368" s="22" t="n">
        <x:v>36.350608</x:v>
      </x:c>
      <x:c r="U368" s="22" t="n">
        <x:v>127.3894944</x:v>
      </x:c>
    </x:row>
    <x:row r="369" ht="32" customHeight="1">
      <x:c r="A369" s="18" t="str">
        <x:v>pending</x:v>
      </x:c>
      <x:c r="B369" s="18" t="str">
        <x:v>서구</x:v>
      </x:c>
      <x:c r="C369" s="17" t="str">
        <x:v>무한고기충전소</x:v>
      </x:c>
      <x:c r="D369" s="17" t="str">
        <x:v>한식&gt;육류,고기요리</x:v>
      </x:c>
      <x:c r="E369" s="19" t="n">
        <x:v>55</x:v>
      </x:c>
      <x:c r="F369" s="17" t="str">
        <x:v>최근 12개월 블로그 27건</x:v>
      </x:c>
      <x:c r="G369" s="17" t="str">
        <x:v>대전광역시 서구 둔산동 1450 2층</x:v>
      </x:c>
      <x:c r="H369" s="17" t="str">
        <x:v>대전광역시 서구 둔산중로46번길 38 2층</x:v>
      </x:c>
      <x:c r="I369" s="18" t="e">
        <x:f>HYPERLINK("https://search.naver.com/search.naver?where=blog&amp;query=%EB%AC%B4%ED%95%9C%EA%B3%A0%EA%B8%B0%EC%B6%A9%EC%A0%84%EC%86%8C+%EC%84%9C%EA%B5%AC","블로그 보기")</x:f>
        <x:v>HYPERLINK is not implemented. linkLocation=https://search.naver.com/search.naver?where=blog&amp;query=%EB%AC%B4%ED%95%9C%EA%B3%A0%EA%B8%B0%EC%B6%A9%EC%A0%84%EC%86%8C+%EC%84%9C%EA%B5%AC, friendlyName=블로그 보기</x:v>
      </x:c>
      <x:c r="J369" s="18" t="str"/>
      <x:c r="K369" s="18" t="str"/>
      <x:c r="L369" s="17" t="str"/>
      <x:c r="M369" s="20" t="n">
        <x:v>46220</x:v>
      </x:c>
      <x:c r="N369" s="21" t="n">
        <x:v>27</x:v>
      </x:c>
      <x:c r="O369" s="21" t="n">
        <x:v>27</x:v>
      </x:c>
      <x:c r="P369" s="21" t="n">
        <x:v>27</x:v>
      </x:c>
      <x:c r="Q369" s="21" t="n">
        <x:v>2</x:v>
      </x:c>
      <x:c r="R369" s="21" t="n">
        <x:v>1</x:v>
      </x:c>
      <x:c r="S369" s="17" t="str">
        <x:v>둔산동 노포</x:v>
      </x:c>
      <x:c r="T369" s="22" t="n">
        <x:v>36.3506828</x:v>
      </x:c>
      <x:c r="U369" s="22" t="n">
        <x:v>127.3889942</x:v>
      </x:c>
    </x:row>
    <x:row r="370" ht="32" customHeight="1">
      <x:c r="A370" s="18" t="str">
        <x:v>pending</x:v>
      </x:c>
      <x:c r="B370" s="18" t="str">
        <x:v>서구</x:v>
      </x:c>
      <x:c r="C370" s="17" t="str">
        <x:v>본만쥬 갈마점</x:v>
      </x:c>
      <x:c r="D370" s="17" t="str">
        <x:v>분식&gt;종합분식</x:v>
      </x:c>
      <x:c r="E370" s="19" t="n">
        <x:v>55</x:v>
      </x:c>
      <x:c r="F370" s="17" t="str">
        <x:v>최근 12개월 블로그 22건</x:v>
      </x:c>
      <x:c r="G370" s="17" t="str">
        <x:v>대전광역시 서구 갈마동 834</x:v>
      </x:c>
      <x:c r="H370" s="17" t="str">
        <x:v>대전광역시 서구 갈마역로 11</x:v>
      </x:c>
      <x:c r="I370" s="18" t="e">
        <x:f>HYPERLINK("https://search.naver.com/search.naver?where=blog&amp;query=%EB%B3%B8%EB%A7%8C%EC%A5%AC+%EA%B0%88%EB%A7%88%EC%A0%90+%EC%84%9C%EA%B5%AC","블로그 보기")</x:f>
        <x:v>HYPERLINK is not implemented. linkLocation=https://search.naver.com/search.naver?where=blog&amp;query=%EB%B3%B8%EB%A7%8C%EC%A5%AC+%EA%B0%88%EB%A7%88%EC%A0%90+%EC%84%9C%EA%B5%AC, friendlyName=블로그 보기</x:v>
      </x:c>
      <x:c r="J370" s="18" t="e">
        <x:f>HYPERLINK("https://www.instagram.com/bonmanju1","업체 보기")</x:f>
        <x:v>HYPERLINK is not implemented. linkLocation=https://www.instagram.com/bonmanju1, friendlyName=업체 보기</x:v>
      </x:c>
      <x:c r="K370" s="18" t="str"/>
      <x:c r="L370" s="17" t="str"/>
      <x:c r="M370" s="20" t="n">
        <x:v>46215</x:v>
      </x:c>
      <x:c r="N370" s="21" t="n">
        <x:v>22</x:v>
      </x:c>
      <x:c r="O370" s="21" t="n">
        <x:v>27</x:v>
      </x:c>
      <x:c r="P370" s="21" t="n">
        <x:v>29</x:v>
      </x:c>
      <x:c r="Q370" s="21" t="n">
        <x:v>2</x:v>
      </x:c>
      <x:c r="R370" s="21" t="n">
        <x:v>1</x:v>
      </x:c>
      <x:c r="S370" s="17" t="str">
        <x:v>갈마동 노포</x:v>
      </x:c>
      <x:c r="T370" s="22" t="n">
        <x:v>36.3516367</x:v>
      </x:c>
      <x:c r="U370" s="22" t="n">
        <x:v>127.3735169</x:v>
      </x:c>
    </x:row>
    <x:row r="371" ht="32" customHeight="1">
      <x:c r="A371" s="18" t="str">
        <x:v>pending</x:v>
      </x:c>
      <x:c r="B371" s="18" t="str">
        <x:v>서구</x:v>
      </x:c>
      <x:c r="C371" s="17" t="str">
        <x:v>부산면관 둔산직영점</x:v>
      </x:c>
      <x:c r="D371" s="17" t="str">
        <x:v>음식점&gt;한식</x:v>
      </x:c>
      <x:c r="E371" s="19" t="n">
        <x:v>55</x:v>
      </x:c>
      <x:c r="F371" s="17" t="str">
        <x:v>최근 12개월 블로그 100건</x:v>
      </x:c>
      <x:c r="G371" s="17" t="str">
        <x:v>대전광역시 서구 둔산동 1308 하이베라스 1층 105호</x:v>
      </x:c>
      <x:c r="H371" s="17" t="str">
        <x:v>대전광역시 서구 대덕대로234번길 45 하이베라스 1층 105호</x:v>
      </x:c>
      <x:c r="I371" s="18" t="e">
        <x:f>HYPERLINK("https://search.naver.com/search.naver?where=blog&amp;query=%EB%B6%80%EC%82%B0%EB%A9%B4%EA%B4%80+%EB%91%94%EC%82%B0%EC%A7%81%EC%98%81%EC%A0%90+%EC%84%9C%EA%B5%AC","블로그 보기")</x:f>
        <x:v>HYPERLINK is not implemented. linkLocation=https://search.naver.com/search.naver?where=blog&amp;query=%EB%B6%80%EC%82%B0%EB%A9%B4%EA%B4%80+%EB%91%94%EC%82%B0%EC%A7%81%EC%98%81%EC%A0%90+%EC%84%9C%EA%B5%AC, friendlyName=블로그 보기</x:v>
      </x:c>
      <x:c r="J371" s="18" t="e">
        <x:f>HYPERLINK("http://busanmyeongwan.co.kr/","업체 보기")</x:f>
        <x:v>HYPERLINK is not implemented. linkLocation=http://busanmyeongwan.co.kr/, friendlyName=업체 보기</x:v>
      </x:c>
      <x:c r="K371" s="18" t="str"/>
      <x:c r="L371" s="17" t="str"/>
      <x:c r="M371" s="20" t="n">
        <x:v>46221</x:v>
      </x:c>
      <x:c r="N371" s="21" t="n">
        <x:v>100</x:v>
      </x:c>
      <x:c r="O371" s="21" t="n">
        <x:v>99</x:v>
      </x:c>
      <x:c r="P371" s="21" t="n">
        <x:v>593</x:v>
      </x:c>
      <x:c r="Q371" s="21" t="n">
        <x:v>1</x:v>
      </x:c>
      <x:c r="R371" s="21" t="n">
        <x:v>1</x:v>
      </x:c>
      <x:c r="S371" s="17" t="str">
        <x:v>둔산동 국밥</x:v>
      </x:c>
      <x:c r="T371" s="22" t="n">
        <x:v>36.3537005</x:v>
      </x:c>
      <x:c r="U371" s="22" t="n">
        <x:v>127.3821776</x:v>
      </x:c>
    </x:row>
    <x:row r="372" ht="32" customHeight="1">
      <x:c r="A372" s="18" t="str">
        <x:v>pending</x:v>
      </x:c>
      <x:c r="B372" s="18" t="str">
        <x:v>서구</x:v>
      </x:c>
      <x:c r="C372" s="17" t="str">
        <x:v>불타는반점 본점</x:v>
      </x:c>
      <x:c r="D372" s="17" t="str">
        <x:v>중식&gt;중식당</x:v>
      </x:c>
      <x:c r="E372" s="19" t="n">
        <x:v>55</x:v>
      </x:c>
      <x:c r="F372" s="17" t="str">
        <x:v>지역성: 본점; 최근 12개월 블로그 100건</x:v>
      </x:c>
      <x:c r="G372" s="17" t="str">
        <x:v>대전광역시 서구 둔산동 1309 1층 103호</x:v>
      </x:c>
      <x:c r="H372" s="17" t="str">
        <x:v>대전광역시 서구 대덕대로234번길 46 1층 103호</x:v>
      </x:c>
      <x:c r="I372" s="18" t="e">
        <x:f>HYPERLINK("https://search.naver.com/search.naver?where=blog&amp;query=%EB%B6%88%ED%83%80%EB%8A%94%EB%B0%98%EC%A0%90+%EB%B3%B8%EC%A0%90+%EC%84%9C%EA%B5%AC","블로그 보기")</x:f>
        <x:v>HYPERLINK is not implemented. linkLocation=https://search.naver.com/search.naver?where=blog&amp;query=%EB%B6%88%ED%83%80%EB%8A%94%EB%B0%98%EC%A0%90+%EB%B3%B8%EC%A0%90+%EC%84%9C%EA%B5%AC, friendlyName=블로그 보기</x:v>
      </x:c>
      <x:c r="J372" s="18" t="e">
        <x:f>HYPERLINK("https://www.baemin.com/shopDetail?shopDetail_shopNo=14750491&amp;bm_rfr=SHARE&amp;shopDetail_campaignId=-1","업체 보기")</x:f>
        <x:v>HYPERLINK is not implemented. linkLocation=https://www.baemin.com/shopDetail?shopDetail_shopNo=14750491&amp;bm_rfr=SHARE&amp;shopDetail_campaignId=-1, friendlyName=업체 보기</x:v>
      </x:c>
      <x:c r="K372" s="18" t="str"/>
      <x:c r="L372" s="17" t="str"/>
      <x:c r="M372" s="20" t="n">
        <x:v>46219</x:v>
      </x:c>
      <x:c r="N372" s="21" t="n">
        <x:v>100</x:v>
      </x:c>
      <x:c r="O372" s="21" t="n">
        <x:v>84</x:v>
      </x:c>
      <x:c r="P372" s="21" t="n">
        <x:v>185</x:v>
      </x:c>
      <x:c r="Q372" s="21" t="n">
        <x:v>1</x:v>
      </x:c>
      <x:c r="R372" s="21" t="n">
        <x:v>0</x:v>
      </x:c>
      <x:c r="S372" s="17" t="str">
        <x:v>둔산동 중식</x:v>
      </x:c>
      <x:c r="T372" s="22" t="n">
        <x:v>36.3532201</x:v>
      </x:c>
      <x:c r="U372" s="22" t="n">
        <x:v>127.3821177</x:v>
      </x:c>
    </x:row>
    <x:row r="373" ht="32" customHeight="1">
      <x:c r="A373" s="18" t="str">
        <x:v>pending</x:v>
      </x:c>
      <x:c r="B373" s="18" t="str">
        <x:v>서구</x:v>
      </x:c>
      <x:c r="C373" s="17" t="str">
        <x:v>수테</x:v>
      </x:c>
      <x:c r="D373" s="17" t="str">
        <x:v>음식점&gt;한식</x:v>
      </x:c>
      <x:c r="E373" s="19" t="n">
        <x:v>55</x:v>
      </x:c>
      <x:c r="F373" s="17" t="str">
        <x:v>최근 12개월 블로그 100건</x:v>
      </x:c>
      <x:c r="G373" s="17" t="str">
        <x:v>대전광역시 서구 둔산동 990 1층</x:v>
      </x:c>
      <x:c r="H373" s="17" t="str">
        <x:v>대전광역시 서구 둔산로31번길 31 1층</x:v>
      </x:c>
      <x:c r="I373" s="18" t="e">
        <x:f>HYPERLINK("https://search.naver.com/search.naver?where=blog&amp;query=%EC%88%98%ED%85%8C+%EC%84%9C%EA%B5%AC","블로그 보기")</x:f>
        <x:v>HYPERLINK is not implemented. linkLocation=https://search.naver.com/search.naver?where=blog&amp;query=%EC%88%98%ED%85%8C+%EC%84%9C%EA%B5%AC, friendlyName=블로그 보기</x:v>
      </x:c>
      <x:c r="J373" s="18" t="e">
        <x:f>HYPERLINK("https://www.instagram.com/soo__tae","업체 보기")</x:f>
        <x:v>HYPERLINK is not implemented. linkLocation=https://www.instagram.com/soo__tae, friendlyName=업체 보기</x:v>
      </x:c>
      <x:c r="K373" s="18" t="str"/>
      <x:c r="L373" s="17" t="str"/>
      <x:c r="M373" s="20" t="n">
        <x:v>46220</x:v>
      </x:c>
      <x:c r="N373" s="21" t="n">
        <x:v>100</x:v>
      </x:c>
      <x:c r="O373" s="21" t="n">
        <x:v>95</x:v>
      </x:c>
      <x:c r="P373" s="21" t="n">
        <x:v>305</x:v>
      </x:c>
      <x:c r="Q373" s="21" t="n">
        <x:v>2</x:v>
      </x:c>
      <x:c r="R373" s="21" t="n">
        <x:v>0</x:v>
      </x:c>
      <x:c r="S373" s="17" t="str">
        <x:v>둔산동 맛집 | 둔산동 한식</x:v>
      </x:c>
      <x:c r="T373" s="22" t="n">
        <x:v>36.3530913</x:v>
      </x:c>
      <x:c r="U373" s="22" t="n">
        <x:v>127.3773543</x:v>
      </x:c>
    </x:row>
    <x:row r="374" ht="32" customHeight="1">
      <x:c r="A374" s="18" t="str">
        <x:v>pending</x:v>
      </x:c>
      <x:c r="B374" s="18" t="str">
        <x:v>서구</x:v>
      </x:c>
      <x:c r="C374" s="17" t="str">
        <x:v>연골연탄집 대전갈마점</x:v>
      </x:c>
      <x:c r="D374" s="17" t="str">
        <x:v>한식&gt;육류,고기요리</x:v>
      </x:c>
      <x:c r="E374" s="19" t="n">
        <x:v>55</x:v>
      </x:c>
      <x:c r="F374" s="17" t="str">
        <x:v>지역성: 대전; 최근 12개월 블로그 98건</x:v>
      </x:c>
      <x:c r="G374" s="17" t="str">
        <x:v>대전광역시 서구 갈마동 307-20 1층 연골연탄집</x:v>
      </x:c>
      <x:c r="H374" s="17" t="str">
        <x:v>대전광역시 서구 신갈마로 202 1층 연골연탄집</x:v>
      </x:c>
      <x:c r="I374" s="18" t="e">
        <x:f>HYPERLINK("https://search.naver.com/search.naver?where=blog&amp;query=%EC%97%B0%EA%B3%A8%EC%97%B0%ED%83%84%EC%A7%91+%EB%8C%80%EC%A0%84%EA%B0%88%EB%A7%88%EC%A0%90+%EC%84%9C%EA%B5%AC","블로그 보기")</x:f>
        <x:v>HYPERLINK is not implemented. linkLocation=https://search.naver.com/search.naver?where=blog&amp;query=%EC%97%B0%EA%B3%A8%EC%97%B0%ED%83%84%EC%A7%91+%EB%8C%80%EC%A0%84%EA%B0%88%EB%A7%88%EC%A0%90+%EC%84%9C%EA%B5%AC, friendlyName=블로그 보기</x:v>
      </x:c>
      <x:c r="J374" s="18" t="str"/>
      <x:c r="K374" s="18" t="str"/>
      <x:c r="L374" s="17" t="str"/>
      <x:c r="M374" s="20" t="n">
        <x:v>46213</x:v>
      </x:c>
      <x:c r="N374" s="21" t="n">
        <x:v>98</x:v>
      </x:c>
      <x:c r="O374" s="21" t="n">
        <x:v>96</x:v>
      </x:c>
      <x:c r="P374" s="21" t="n">
        <x:v>167</x:v>
      </x:c>
      <x:c r="Q374" s="21" t="n">
        <x:v>1</x:v>
      </x:c>
      <x:c r="R374" s="21" t="n">
        <x:v>0</x:v>
      </x:c>
      <x:c r="S374" s="17" t="str">
        <x:v>갈마동 국밥</x:v>
      </x:c>
      <x:c r="T374" s="22" t="n">
        <x:v>36.3515884</x:v>
      </x:c>
      <x:c r="U374" s="22" t="n">
        <x:v>127.3684595</x:v>
      </x:c>
    </x:row>
    <x:row r="375" ht="32" customHeight="1">
      <x:c r="A375" s="18" t="str">
        <x:v>pending</x:v>
      </x:c>
      <x:c r="B375" s="18" t="str">
        <x:v>서구</x:v>
      </x:c>
      <x:c r="C375" s="17" t="str">
        <x:v>이억만포장마차</x:v>
      </x:c>
      <x:c r="D375" s="17" t="str">
        <x:v>술집&gt;요리주점</x:v>
      </x:c>
      <x:c r="E375" s="19" t="n">
        <x:v>55</x:v>
      </x:c>
      <x:c r="F375" s="17" t="str">
        <x:v>최근 12개월 블로그 63건</x:v>
      </x:c>
      <x:c r="G375" s="17" t="str">
        <x:v>대전광역시 서구 둔산동 1064 명성빌딩</x:v>
      </x:c>
      <x:c r="H375" s="17" t="str">
        <x:v>대전광역시 서구 대덕대로185번길 30 명성빌딩</x:v>
      </x:c>
      <x:c r="I375" s="18" t="e">
        <x:f>HYPERLINK("https://search.naver.com/search.naver?where=blog&amp;query=%EC%9D%B4%EC%96%B5%EB%A7%8C%ED%8F%AC%EC%9E%A5%EB%A7%88%EC%B0%A8+%EC%84%9C%EA%B5%AC","블로그 보기")</x:f>
        <x:v>HYPERLINK is not implemented. linkLocation=https://search.naver.com/search.naver?where=blog&amp;query=%EC%9D%B4%EC%96%B5%EB%A7%8C%ED%8F%AC%EC%9E%A5%EB%A7%88%EC%B0%A8+%EC%84%9C%EA%B5%AC, friendlyName=블로그 보기</x:v>
      </x:c>
      <x:c r="J375" s="18" t="str"/>
      <x:c r="K375" s="18" t="str"/>
      <x:c r="L375" s="17" t="str"/>
      <x:c r="M375" s="20" t="n">
        <x:v>46222</x:v>
      </x:c>
      <x:c r="N375" s="21" t="n">
        <x:v>63</x:v>
      </x:c>
      <x:c r="O375" s="21" t="n">
        <x:v>95</x:v>
      </x:c>
      <x:c r="P375" s="21" t="n">
        <x:v>481</x:v>
      </x:c>
      <x:c r="Q375" s="21" t="n">
        <x:v>1</x:v>
      </x:c>
      <x:c r="R375" s="21" t="n">
        <x:v>1</x:v>
      </x:c>
      <x:c r="S375" s="17" t="str">
        <x:v>둔산동 노포</x:v>
      </x:c>
      <x:c r="T375" s="22" t="n">
        <x:v>36.3504183</x:v>
      </x:c>
      <x:c r="U375" s="22" t="n">
        <x:v>127.3760405</x:v>
      </x:c>
    </x:row>
    <x:row r="376" ht="32" customHeight="1">
      <x:c r="A376" s="18" t="str">
        <x:v>pending</x:v>
      </x:c>
      <x:c r="B376" s="18" t="str">
        <x:v>서구</x:v>
      </x:c>
      <x:c r="C376" s="17" t="str">
        <x:v>정김밥</x:v>
      </x:c>
      <x:c r="D376" s="17" t="str">
        <x:v>분식&gt;김밥</x:v>
      </x:c>
      <x:c r="E376" s="19" t="n">
        <x:v>55</x:v>
      </x:c>
      <x:c r="F376" s="17" t="str">
        <x:v>최근 12개월 블로그 100건</x:v>
      </x:c>
      <x:c r="G376" s="17" t="str">
        <x:v>대전광역시 서구 둔산동 967 1층 149호</x:v>
      </x:c>
      <x:c r="H376" s="17" t="str">
        <x:v>대전광역시 서구 둔산북로 22 1층 149호</x:v>
      </x:c>
      <x:c r="I376" s="18" t="e">
        <x:f>HYPERLINK("https://search.naver.com/search.naver?where=blog&amp;query=%EC%A0%95%EA%B9%80%EB%B0%A5+%EC%84%9C%EA%B5%AC","블로그 보기")</x:f>
        <x:v>HYPERLINK is not implemented. linkLocation=https://search.naver.com/search.naver?where=blog&amp;query=%EC%A0%95%EA%B9%80%EB%B0%A5+%EC%84%9C%EA%B5%AC, friendlyName=블로그 보기</x:v>
      </x:c>
      <x:c r="J376" s="18" t="str"/>
      <x:c r="K376" s="18" t="str"/>
      <x:c r="L376" s="17" t="str"/>
      <x:c r="M376" s="20" t="n">
        <x:v>46217</x:v>
      </x:c>
      <x:c r="N376" s="21" t="n">
        <x:v>100</x:v>
      </x:c>
      <x:c r="O376" s="21" t="n">
        <x:v>94</x:v>
      </x:c>
      <x:c r="P376" s="21" t="n">
        <x:v>578</x:v>
      </x:c>
      <x:c r="Q376" s="21" t="n">
        <x:v>1</x:v>
      </x:c>
      <x:c r="R376" s="21" t="n">
        <x:v>1</x:v>
      </x:c>
      <x:c r="S376" s="17" t="str">
        <x:v>둔산동 분식</x:v>
      </x:c>
      <x:c r="T376" s="22" t="n">
        <x:v>36.3556548</x:v>
      </x:c>
      <x:c r="U376" s="22" t="n">
        <x:v>127.3767765</x:v>
      </x:c>
    </x:row>
    <x:row r="377" ht="32" customHeight="1">
      <x:c r="A377" s="18" t="str">
        <x:v>pending</x:v>
      </x:c>
      <x:c r="B377" s="18" t="str">
        <x:v>서구</x:v>
      </x:c>
      <x:c r="C377" s="17" t="str">
        <x:v>카이테키 대전점</x:v>
      </x:c>
      <x:c r="D377" s="17" t="str">
        <x:v>음식점&gt;일식&gt;일식당</x:v>
      </x:c>
      <x:c r="E377" s="19" t="n">
        <x:v>55</x:v>
      </x:c>
      <x:c r="F377" s="17" t="str">
        <x:v>지역성: 대전; 최근 12개월 블로그 100건</x:v>
      </x:c>
      <x:c r="G377" s="17" t="str">
        <x:v>대전광역시 서구 둔산동 1222 1층</x:v>
      </x:c>
      <x:c r="H377" s="17" t="str">
        <x:v>대전광역시 서구 계룡로491번길 82 1층</x:v>
      </x:c>
      <x:c r="I377" s="18" t="e">
        <x:f>HYPERLINK("https://search.naver.com/search.naver?where=blog&amp;query=%EC%B9%B4%EC%9D%B4%ED%85%8C%ED%82%A4+%EB%8C%80%EC%A0%84%EC%A0%90+%EC%84%9C%EA%B5%AC","블로그 보기")</x:f>
        <x:v>HYPERLINK is not implemented. linkLocation=https://search.naver.com/search.naver?where=blog&amp;query=%EC%B9%B4%EC%9D%B4%ED%85%8C%ED%82%A4+%EB%8C%80%EC%A0%84%EC%A0%90+%EC%84%9C%EA%B5%AC, friendlyName=블로그 보기</x:v>
      </x:c>
      <x:c r="J377" s="18" t="e">
        <x:f>HYPERLINK("https://www.instagram.com/kaiteki042_","업체 보기")</x:f>
        <x:v>HYPERLINK is not implemented. linkLocation=https://www.instagram.com/kaiteki042_, friendlyName=업체 보기</x:v>
      </x:c>
      <x:c r="K377" s="18" t="str"/>
      <x:c r="L377" s="17" t="str"/>
      <x:c r="M377" s="20" t="n">
        <x:v>46223</x:v>
      </x:c>
      <x:c r="N377" s="21" t="n">
        <x:v>100</x:v>
      </x:c>
      <x:c r="O377" s="21" t="n">
        <x:v>91</x:v>
      </x:c>
      <x:c r="P377" s="21" t="n">
        <x:v>203</x:v>
      </x:c>
      <x:c r="Q377" s="21" t="n">
        <x:v>1</x:v>
      </x:c>
      <x:c r="R377" s="21" t="n">
        <x:v>0</x:v>
      </x:c>
      <x:c r="S377" s="17" t="str">
        <x:v>둔산동 일식</x:v>
      </x:c>
      <x:c r="T377" s="22" t="n">
        <x:v>36.3483823</x:v>
      </x:c>
      <x:c r="U377" s="22" t="n">
        <x:v>127.3821177</x:v>
      </x:c>
    </x:row>
    <x:row r="378" ht="32" customHeight="1">
      <x:c r="A378" s="18" t="str">
        <x:v>pending</x:v>
      </x:c>
      <x:c r="B378" s="18" t="str">
        <x:v>서구</x:v>
      </x:c>
      <x:c r="C378" s="17" t="str">
        <x:v>타츠진 우동</x:v>
      </x:c>
      <x:c r="D378" s="17" t="str">
        <x:v>음식점&gt;일식&gt;일식당</x:v>
      </x:c>
      <x:c r="E378" s="19" t="n">
        <x:v>55</x:v>
      </x:c>
      <x:c r="F378" s="17" t="str">
        <x:v>최근 12개월 블로그 100건</x:v>
      </x:c>
      <x:c r="G378" s="17" t="str">
        <x:v>대전광역시 서구 둔산동 1023 1층 106호</x:v>
      </x:c>
      <x:c r="H378" s="17" t="str">
        <x:v>대전광역시 서구 대덕대로249번길 15 1층 106호</x:v>
      </x:c>
      <x:c r="I378" s="18" t="e">
        <x:f>HYPERLINK("https://search.naver.com/search.naver?where=blog&amp;query=%ED%83%80%EC%B8%A0%EC%A7%84+%EC%9A%B0%EB%8F%99+%EC%84%9C%EA%B5%AC","블로그 보기")</x:f>
        <x:v>HYPERLINK is not implemented. linkLocation=https://search.naver.com/search.naver?where=blog&amp;query=%ED%83%80%EC%B8%A0%EC%A7%84+%EC%9A%B0%EB%8F%99+%EC%84%9C%EA%B5%AC, friendlyName=블로그 보기</x:v>
      </x:c>
      <x:c r="J378" s="18" t="e">
        <x:f>HYPERLINK("https://app.catchtable.co.kr/ct/shop/tatsujinudon","업체 보기")</x:f>
        <x:v>HYPERLINK is not implemented. linkLocation=https://app.catchtable.co.kr/ct/shop/tatsujinudon, friendlyName=업체 보기</x:v>
      </x:c>
      <x:c r="K378" s="18" t="str"/>
      <x:c r="L378" s="17" t="str"/>
      <x:c r="M378" s="20" t="n">
        <x:v>46223</x:v>
      </x:c>
      <x:c r="N378" s="21" t="n">
        <x:v>100</x:v>
      </x:c>
      <x:c r="O378" s="21" t="n">
        <x:v>98</x:v>
      </x:c>
      <x:c r="P378" s="21" t="n">
        <x:v>510</x:v>
      </x:c>
      <x:c r="Q378" s="21" t="n">
        <x:v>1</x:v>
      </x:c>
      <x:c r="R378" s="21" t="n">
        <x:v>1</x:v>
      </x:c>
      <x:c r="S378" s="17" t="str">
        <x:v>둔산동 일식</x:v>
      </x:c>
      <x:c r="T378" s="22" t="n">
        <x:v>36.3547259</x:v>
      </x:c>
      <x:c r="U378" s="22" t="n">
        <x:v>127.3781036</x:v>
      </x:c>
    </x:row>
    <x:row r="379" ht="32" customHeight="1">
      <x:c r="A379" s="18" t="str">
        <x:v>pending</x:v>
      </x:c>
      <x:c r="B379" s="18" t="str">
        <x:v>서구</x:v>
      </x:c>
      <x:c r="C379" s="17" t="str">
        <x:v>더베이징</x:v>
      </x:c>
      <x:c r="D379" s="17" t="str">
        <x:v>중식&gt;중식당</x:v>
      </x:c>
      <x:c r="E379" s="19" t="n">
        <x:v>54</x:v>
      </x:c>
      <x:c r="F379" s="17" t="str">
        <x:v>최근 12개월 블로그 100건</x:v>
      </x:c>
      <x:c r="G379" s="17" t="str">
        <x:v>대전광역시 서구 둔산동 1083 더 프라임시티 2층 201호</x:v>
      </x:c>
      <x:c r="H379" s="17" t="str">
        <x:v>대전광역시 서구 대덕대로195번길 58 더 프라임시티 2층 201호</x:v>
      </x:c>
      <x:c r="I379" s="18" t="e">
        <x:f>HYPERLINK("https://search.naver.com/search.naver?where=blog&amp;query=%EB%8D%94%EB%B2%A0%EC%9D%B4%EC%A7%95+%EC%84%9C%EA%B5%AC","블로그 보기")</x:f>
        <x:v>HYPERLINK is not implemented. linkLocation=https://search.naver.com/search.naver?where=blog&amp;query=%EB%8D%94%EB%B2%A0%EC%9D%B4%EC%A7%95+%EC%84%9C%EA%B5%AC, friendlyName=블로그 보기</x:v>
      </x:c>
      <x:c r="J379" s="18" t="str"/>
      <x:c r="K379" s="18" t="str"/>
      <x:c r="L379" s="17" t="str"/>
      <x:c r="M379" s="20" t="n">
        <x:v>46223</x:v>
      </x:c>
      <x:c r="N379" s="21" t="n">
        <x:v>100</x:v>
      </x:c>
      <x:c r="O379" s="21" t="n">
        <x:v>91</x:v>
      </x:c>
      <x:c r="P379" s="21" t="n">
        <x:v>20002</x:v>
      </x:c>
      <x:c r="Q379" s="21" t="n">
        <x:v>1</x:v>
      </x:c>
      <x:c r="R379" s="21" t="n">
        <x:v>0</x:v>
      </x:c>
      <x:c r="S379" s="17" t="str">
        <x:v>둔산동 중식</x:v>
      </x:c>
      <x:c r="T379" s="22" t="n">
        <x:v>36.3518437</x:v>
      </x:c>
      <x:c r="U379" s="22" t="n">
        <x:v>127.3753144</x:v>
      </x:c>
    </x:row>
    <x:row r="380" ht="32" customHeight="1">
      <x:c r="A380" s="18" t="str">
        <x:v>pending</x:v>
      </x:c>
      <x:c r="B380" s="18" t="str">
        <x:v>서구</x:v>
      </x:c>
      <x:c r="C380" s="17" t="str">
        <x:v>명동닭한마리 둔산을지점</x:v>
      </x:c>
      <x:c r="D380" s="17" t="str">
        <x:v>한식&gt;닭요리</x:v>
      </x:c>
      <x:c r="E380" s="19" t="n">
        <x:v>54</x:v>
      </x:c>
      <x:c r="F380" s="17" t="str">
        <x:v>최근 12개월 블로그 67건</x:v>
      </x:c>
      <x:c r="G380" s="17" t="str">
        <x:v>대전광역시 서구 둔산동 1353 1층 107호, 107-1호</x:v>
      </x:c>
      <x:c r="H380" s="17" t="str">
        <x:v>대전광역시 서구 둔산로51번길 66 1층 107호, 107-1호</x:v>
      </x:c>
      <x:c r="I380" s="18" t="e">
        <x:f>HYPERLINK("https://search.naver.com/search.naver?where=blog&amp;query=%EB%AA%85%EB%8F%99%EB%8B%AD%ED%95%9C%EB%A7%88%EB%A6%AC+%EB%91%94%EC%82%B0%EC%9D%84%EC%A7%80%EC%A0%90+%EC%84%9C%EA%B5%AC","블로그 보기")</x:f>
        <x:v>HYPERLINK is not implemented. linkLocation=https://search.naver.com/search.naver?where=blog&amp;query=%EB%AA%85%EB%8F%99%EB%8B%AD%ED%95%9C%EB%A7%88%EB%A6%AC+%EB%91%94%EC%82%B0%EC%9D%84%EC%A7%80%EC%A0%90+%EC%84%9C%EA%B5%AC, friendlyName=블로그 보기</x:v>
      </x:c>
      <x:c r="J380" s="18" t="str"/>
      <x:c r="K380" s="18" t="str"/>
      <x:c r="L380" s="17" t="str"/>
      <x:c r="M380" s="20" t="n">
        <x:v>46210</x:v>
      </x:c>
      <x:c r="N380" s="21" t="n">
        <x:v>67</x:v>
      </x:c>
      <x:c r="O380" s="21" t="n">
        <x:v>98</x:v>
      </x:c>
      <x:c r="P380" s="21" t="n">
        <x:v>247</x:v>
      </x:c>
      <x:c r="Q380" s="21" t="n">
        <x:v>1</x:v>
      </x:c>
      <x:c r="R380" s="21" t="n">
        <x:v>1</x:v>
      </x:c>
      <x:c r="S380" s="17" t="str">
        <x:v>둔산동 삼계탕</x:v>
      </x:c>
      <x:c r="T380" s="22" t="n">
        <x:v>36.3541794</x:v>
      </x:c>
      <x:c r="U380" s="22" t="n">
        <x:v>127.3807282</x:v>
      </x:c>
    </x:row>
    <x:row r="381" ht="32" customHeight="1">
      <x:c r="A381" s="18" t="str">
        <x:v>pending</x:v>
      </x:c>
      <x:c r="B381" s="18" t="str">
        <x:v>서구</x:v>
      </x:c>
      <x:c r="C381" s="17" t="str">
        <x:v>무릉도원</x:v>
      </x:c>
      <x:c r="D381" s="17" t="str">
        <x:v>술집&gt;요리주점</x:v>
      </x:c>
      <x:c r="E381" s="19" t="n">
        <x:v>54</x:v>
      </x:c>
      <x:c r="F381" s="17" t="str">
        <x:v>최근 12개월 블로그 100건</x:v>
      </x:c>
      <x:c r="G381" s="17" t="str">
        <x:v>대전광역시 서구 갈마동 343-14 1층 무릉도원</x:v>
      </x:c>
      <x:c r="H381" s="17" t="str">
        <x:v>대전광역시 서구 계룡로416번길 54 1층 무릉도원</x:v>
      </x:c>
      <x:c r="I381" s="18" t="e">
        <x:f>HYPERLINK("https://search.naver.com/search.naver?where=blog&amp;query=%EB%AC%B4%EB%A6%89%EB%8F%84%EC%9B%90+%EC%84%9C%EA%B5%AC","블로그 보기")</x:f>
        <x:v>HYPERLINK is not implemented. linkLocation=https://search.naver.com/search.naver?where=blog&amp;query=%EB%AC%B4%EB%A6%89%EB%8F%84%EC%9B%90+%EC%84%9C%EA%B5%AC, friendlyName=블로그 보기</x:v>
      </x:c>
      <x:c r="J381" s="18" t="e">
        <x:f>HYPERLINK("https://www.instagram.com/mureung.dn","업체 보기")</x:f>
        <x:v>HYPERLINK is not implemented. linkLocation=https://www.instagram.com/mureung.dn, friendlyName=업체 보기</x:v>
      </x:c>
      <x:c r="K381" s="18" t="str"/>
      <x:c r="L381" s="17" t="str"/>
      <x:c r="M381" s="20" t="n">
        <x:v>46223</x:v>
      </x:c>
      <x:c r="N381" s="21" t="n">
        <x:v>100</x:v>
      </x:c>
      <x:c r="O381" s="21" t="n">
        <x:v>98</x:v>
      </x:c>
      <x:c r="P381" s="21" t="n">
        <x:v>2547</x:v>
      </x:c>
      <x:c r="Q381" s="21" t="n">
        <x:v>1</x:v>
      </x:c>
      <x:c r="R381" s="21" t="n">
        <x:v>0</x:v>
      </x:c>
      <x:c r="S381" s="17" t="str">
        <x:v>갈마동 냉면</x:v>
      </x:c>
      <x:c r="T381" s="22" t="n">
        <x:v>36.3480184</x:v>
      </x:c>
      <x:c r="U381" s="22" t="n">
        <x:v>127.3725347</x:v>
      </x:c>
    </x:row>
    <x:row r="382" ht="32" customHeight="1">
      <x:c r="A382" s="18" t="str">
        <x:v>pending</x:v>
      </x:c>
      <x:c r="B382" s="18" t="str">
        <x:v>서구</x:v>
      </x:c>
      <x:c r="C382" s="17" t="str">
        <x:v>상무초밥 둔산점</x:v>
      </x:c>
      <x:c r="D382" s="17" t="str">
        <x:v>음식점&gt;일식&gt;초밥,롤</x:v>
      </x:c>
      <x:c r="E382" s="19" t="n">
        <x:v>54</x:v>
      </x:c>
      <x:c r="F382" s="17" t="str">
        <x:v>최근 12개월 블로그 100건</x:v>
      </x:c>
      <x:c r="G382" s="17" t="str">
        <x:v>대전광역시 서구 둔산동 1002</x:v>
      </x:c>
      <x:c r="H382" s="17" t="str">
        <x:v>대전광역시 서구 둔산로31번길 66</x:v>
      </x:c>
      <x:c r="I382" s="18" t="e">
        <x:f>HYPERLINK("https://search.naver.com/search.naver?where=blog&amp;query=%EC%83%81%EB%AC%B4%EC%B4%88%EB%B0%A5+%EB%91%94%EC%82%B0%EC%A0%90+%EC%84%9C%EA%B5%AC","블로그 보기")</x:f>
        <x:v>HYPERLINK is not implemented. linkLocation=https://search.naver.com/search.naver?where=blog&amp;query=%EC%83%81%EB%AC%B4%EC%B4%88%EB%B0%A5+%EB%91%94%EC%82%B0%EC%A0%90+%EC%84%9C%EA%B5%AC, friendlyName=블로그 보기</x:v>
      </x:c>
      <x:c r="J382" s="18" t="e">
        <x:f>HYPERLINK("http://pf.kakao.com/_UTwjG","업체 보기")</x:f>
        <x:v>HYPERLINK is not implemented. linkLocation=http://pf.kakao.com/_UTwjG, friendlyName=업체 보기</x:v>
      </x:c>
      <x:c r="K382" s="18" t="str"/>
      <x:c r="L382" s="17" t="str"/>
      <x:c r="M382" s="20" t="n">
        <x:v>46217</x:v>
      </x:c>
      <x:c r="N382" s="21" t="n">
        <x:v>100</x:v>
      </x:c>
      <x:c r="O382" s="21" t="n">
        <x:v>97</x:v>
      </x:c>
      <x:c r="P382" s="21" t="n">
        <x:v>456</x:v>
      </x:c>
      <x:c r="Q382" s="21" t="n">
        <x:v>1</x:v>
      </x:c>
      <x:c r="R382" s="21" t="n">
        <x:v>1</x:v>
      </x:c>
      <x:c r="S382" s="17" t="str">
        <x:v>둔산동 일식</x:v>
      </x:c>
      <x:c r="T382" s="22" t="n">
        <x:v>36.3546813</x:v>
      </x:c>
      <x:c r="U382" s="22" t="n">
        <x:v>127.3776449</x:v>
      </x:c>
    </x:row>
    <x:row r="383" ht="32" customHeight="1">
      <x:c r="A383" s="18" t="str">
        <x:v>pending</x:v>
      </x:c>
      <x:c r="B383" s="18" t="str">
        <x:v>서구</x:v>
      </x:c>
      <x:c r="C383" s="17" t="str">
        <x:v>설도</x:v>
      </x:c>
      <x:c r="D383" s="17" t="str">
        <x:v>한식&gt;소고기구이</x:v>
      </x:c>
      <x:c r="E383" s="19" t="n">
        <x:v>54</x:v>
      </x:c>
      <x:c r="F383" s="17" t="str">
        <x:v>최근 12개월 블로그 100건</x:v>
      </x:c>
      <x:c r="G383" s="17" t="str">
        <x:v>대전광역시 서구 갈마동 902 1층 설도</x:v>
      </x:c>
      <x:c r="H383" s="17" t="str">
        <x:v>대전광역시 서구 갈마역로 9 1층 설도</x:v>
      </x:c>
      <x:c r="I383" s="18" t="e">
        <x:f>HYPERLINK("https://search.naver.com/search.naver?where=blog&amp;query=%EC%84%A4%EB%8F%84+%EC%84%9C%EA%B5%AC","블로그 보기")</x:f>
        <x:v>HYPERLINK is not implemented. linkLocation=https://search.naver.com/search.naver?where=blog&amp;query=%EC%84%A4%EB%8F%84+%EC%84%9C%EA%B5%AC, friendlyName=블로그 보기</x:v>
      </x:c>
      <x:c r="J383" s="18" t="str"/>
      <x:c r="K383" s="18" t="str"/>
      <x:c r="L383" s="17" t="str"/>
      <x:c r="M383" s="20" t="n">
        <x:v>46223</x:v>
      </x:c>
      <x:c r="N383" s="21" t="n">
        <x:v>100</x:v>
      </x:c>
      <x:c r="O383" s="21" t="n">
        <x:v>99</x:v>
      </x:c>
      <x:c r="P383" s="21" t="n">
        <x:v>6543</x:v>
      </x:c>
      <x:c r="Q383" s="21" t="n">
        <x:v>1</x:v>
      </x:c>
      <x:c r="R383" s="21" t="n">
        <x:v>0</x:v>
      </x:c>
      <x:c r="S383" s="17" t="str">
        <x:v>갈마동 냉면</x:v>
      </x:c>
      <x:c r="T383" s="22" t="n">
        <x:v>36.3513854</x:v>
      </x:c>
      <x:c r="U383" s="22" t="n">
        <x:v>127.3733933</x:v>
      </x:c>
    </x:row>
    <x:row r="384" ht="32" customHeight="1">
      <x:c r="A384" s="18" t="str">
        <x:v>pending</x:v>
      </x:c>
      <x:c r="B384" s="18" t="str">
        <x:v>서구</x:v>
      </x:c>
      <x:c r="C384" s="17" t="str">
        <x:v>소리</x:v>
      </x:c>
      <x:c r="D384" s="17" t="str">
        <x:v>술집&gt;이자카야</x:v>
      </x:c>
      <x:c r="E384" s="19" t="n">
        <x:v>54</x:v>
      </x:c>
      <x:c r="F384" s="17" t="str">
        <x:v>최근 12개월 블로그 100건</x:v>
      </x:c>
      <x:c r="G384" s="17" t="str">
        <x:v>대전광역시 서구 둔산동 1309 1층 102호</x:v>
      </x:c>
      <x:c r="H384" s="17" t="str">
        <x:v>대전광역시 서구 대덕대로234번길 46 1층 102호</x:v>
      </x:c>
      <x:c r="I384" s="18" t="e">
        <x:f>HYPERLINK("https://search.naver.com/search.naver?where=blog&amp;query=%EC%86%8C%EB%A6%AC+%EC%84%9C%EA%B5%AC","블로그 보기")</x:f>
        <x:v>HYPERLINK is not implemented. linkLocation=https://search.naver.com/search.naver?where=blog&amp;query=%EC%86%8C%EB%A6%AC+%EC%84%9C%EA%B5%AC, friendlyName=블로그 보기</x:v>
      </x:c>
      <x:c r="J384" s="18" t="e">
        <x:f>HYPERLINK("https://app.catchtable.co.kr/ct/shop/sori","업체 보기")</x:f>
        <x:v>HYPERLINK is not implemented. linkLocation=https://app.catchtable.co.kr/ct/shop/sori, friendlyName=업체 보기</x:v>
      </x:c>
      <x:c r="K384" s="18" t="str"/>
      <x:c r="L384" s="17" t="str"/>
      <x:c r="M384" s="20" t="n">
        <x:v>46223</x:v>
      </x:c>
      <x:c r="N384" s="21" t="n">
        <x:v>100</x:v>
      </x:c>
      <x:c r="O384" s="21" t="n">
        <x:v>66</x:v>
      </x:c>
      <x:c r="P384" s="21" t="n">
        <x:v>371821</x:v>
      </x:c>
      <x:c r="Q384" s="21" t="n">
        <x:v>1</x:v>
      </x:c>
      <x:c r="R384" s="21" t="n">
        <x:v>0</x:v>
      </x:c>
      <x:c r="S384" s="17" t="str">
        <x:v>둔산동 일식</x:v>
      </x:c>
      <x:c r="T384" s="22" t="n">
        <x:v>36.3533172</x:v>
      </x:c>
      <x:c r="U384" s="22" t="n">
        <x:v>127.3822565</x:v>
      </x:c>
    </x:row>
    <x:row r="385" ht="32" customHeight="1">
      <x:c r="A385" s="18" t="str">
        <x:v>pending</x:v>
      </x:c>
      <x:c r="B385" s="18" t="str">
        <x:v>서구</x:v>
      </x:c>
      <x:c r="C385" s="17" t="str">
        <x:v>원산시도삭면</x:v>
      </x:c>
      <x:c r="D385" s="17" t="str">
        <x:v>중식&gt;중식당</x:v>
      </x:c>
      <x:c r="E385" s="19" t="n">
        <x:v>54</x:v>
      </x:c>
      <x:c r="F385" s="17" t="str">
        <x:v>최근 12개월 블로그 70건</x:v>
      </x:c>
      <x:c r="G385" s="17" t="str">
        <x:v>대전광역시 서구 둔산동 1077 트라이얼스타 B동 2층 202호</x:v>
      </x:c>
      <x:c r="H385" s="17" t="str">
        <x:v>대전광역시 서구 둔지로 11 트라이얼스타 B동 2층 202호</x:v>
      </x:c>
      <x:c r="I385" s="18" t="e">
        <x:f>HYPERLINK("https://search.naver.com/search.naver?where=blog&amp;query=%EC%9B%90%EC%82%B0%EC%8B%9C%EB%8F%84%EC%82%AD%EB%A9%B4+%EC%84%9C%EA%B5%AC","블로그 보기")</x:f>
        <x:v>HYPERLINK is not implemented. linkLocation=https://search.naver.com/search.naver?where=blog&amp;query=%EC%9B%90%EC%82%B0%EC%8B%9C%EB%8F%84%EC%82%AD%EB%A9%B4+%EC%84%9C%EA%B5%AC, friendlyName=블로그 보기</x:v>
      </x:c>
      <x:c r="J385" s="18" t="e">
        <x:f>HYPERLINK("https://www.instagram.com/won_shanxi","업체 보기")</x:f>
        <x:v>HYPERLINK is not implemented. linkLocation=https://www.instagram.com/won_shanxi, friendlyName=업체 보기</x:v>
      </x:c>
      <x:c r="K385" s="18" t="str"/>
      <x:c r="L385" s="17" t="str"/>
      <x:c r="M385" s="20" t="n">
        <x:v>46209</x:v>
      </x:c>
      <x:c r="N385" s="21" t="n">
        <x:v>70</x:v>
      </x:c>
      <x:c r="O385" s="21" t="n">
        <x:v>95</x:v>
      </x:c>
      <x:c r="P385" s="21" t="n">
        <x:v>442</x:v>
      </x:c>
      <x:c r="Q385" s="21" t="n">
        <x:v>1</x:v>
      </x:c>
      <x:c r="R385" s="21" t="n">
        <x:v>1</x:v>
      </x:c>
      <x:c r="S385" s="17" t="str">
        <x:v>둔산동 중식</x:v>
      </x:c>
      <x:c r="T385" s="22" t="n">
        <x:v>36.35081</x:v>
      </x:c>
      <x:c r="U385" s="22" t="n">
        <x:v>127.3755366</x:v>
      </x:c>
    </x:row>
    <x:row r="386" ht="32" customHeight="1">
      <x:c r="A386" s="18" t="str">
        <x:v>pending</x:v>
      </x:c>
      <x:c r="B386" s="18" t="str">
        <x:v>서구</x:v>
      </x:c>
      <x:c r="C386" s="17" t="str">
        <x:v>태원</x:v>
      </x:c>
      <x:c r="D386" s="17" t="str">
        <x:v>중식&gt;중식당</x:v>
      </x:c>
      <x:c r="E386" s="19" t="n">
        <x:v>54</x:v>
      </x:c>
      <x:c r="F386" s="17" t="str">
        <x:v>최근 12개월 블로그 100건</x:v>
      </x:c>
      <x:c r="G386" s="17" t="str">
        <x:v>대전광역시 서구 둔산동 1242</x:v>
      </x:c>
      <x:c r="H386" s="17" t="str">
        <x:v>대전광역시 서구 문정로 19</x:v>
      </x:c>
      <x:c r="I386" s="18" t="e">
        <x:f>HYPERLINK("https://search.naver.com/search.naver?where=blog&amp;query=%ED%83%9C%EC%9B%90+%EC%84%9C%EA%B5%AC","블로그 보기")</x:f>
        <x:v>HYPERLINK is not implemented. linkLocation=https://search.naver.com/search.naver?where=blog&amp;query=%ED%83%9C%EC%9B%90+%EC%84%9C%EA%B5%AC, friendlyName=블로그 보기</x:v>
      </x:c>
      <x:c r="J386" s="18" t="str"/>
      <x:c r="K386" s="18" t="str"/>
      <x:c r="L386" s="17" t="str"/>
      <x:c r="M386" s="20" t="n">
        <x:v>46220</x:v>
      </x:c>
      <x:c r="N386" s="21" t="n">
        <x:v>100</x:v>
      </x:c>
      <x:c r="O386" s="21" t="n">
        <x:v>97</x:v>
      </x:c>
      <x:c r="P386" s="21" t="n">
        <x:v>3124</x:v>
      </x:c>
      <x:c r="Q386" s="21" t="n">
        <x:v>1</x:v>
      </x:c>
      <x:c r="R386" s="21" t="n">
        <x:v>0</x:v>
      </x:c>
      <x:c r="S386" s="17" t="str">
        <x:v>둔산동 중식</x:v>
      </x:c>
      <x:c r="T386" s="22" t="n">
        <x:v>36.3462176</x:v>
      </x:c>
      <x:c r="U386" s="22" t="n">
        <x:v>127.3816771</x:v>
      </x:c>
    </x:row>
    <x:row r="387" ht="32" customHeight="1">
      <x:c r="A387" s="18" t="str">
        <x:v>pending</x:v>
      </x:c>
      <x:c r="B387" s="18" t="str">
        <x:v>서구</x:v>
      </x:c>
      <x:c r="C387" s="17" t="str">
        <x:v>범이네숯불구이</x:v>
      </x:c>
      <x:c r="D387" s="17" t="str">
        <x:v>한식&gt;닭갈비</x:v>
      </x:c>
      <x:c r="E387" s="19" t="n">
        <x:v>53</x:v>
      </x:c>
      <x:c r="F387" s="17" t="str">
        <x:v>최근 12개월 블로그 66건</x:v>
      </x:c>
      <x:c r="G387" s="17" t="str">
        <x:v>대전광역시 서구 갈마동 1049 1층 범이네숯불구이</x:v>
      </x:c>
      <x:c r="H387" s="17" t="str">
        <x:v>대전광역시 서구 대덕대로 159 1층 범이네숯불구이</x:v>
      </x:c>
      <x:c r="I387" s="18" t="e">
        <x:f>HYPERLINK("https://search.naver.com/search.naver?where=blog&amp;query=%EB%B2%94%EC%9D%B4%EB%84%A4%EC%88%AF%EB%B6%88%EA%B5%AC%EC%9D%B4+%EC%84%9C%EA%B5%AC","블로그 보기")</x:f>
        <x:v>HYPERLINK is not implemented. linkLocation=https://search.naver.com/search.naver?where=blog&amp;query=%EB%B2%94%EC%9D%B4%EB%84%A4%EC%88%AF%EB%B6%88%EA%B5%AC%EC%9D%B4+%EC%84%9C%EA%B5%AC, friendlyName=블로그 보기</x:v>
      </x:c>
      <x:c r="J387" s="18" t="e">
        <x:f>HYPERLINK("https://www.instagram.com/leesungbeom_1982/","업체 보기")</x:f>
        <x:v>HYPERLINK is not implemented. linkLocation=https://www.instagram.com/leesungbeom_1982/, friendlyName=업체 보기</x:v>
      </x:c>
      <x:c r="K387" s="18" t="str"/>
      <x:c r="L387" s="17" t="str"/>
      <x:c r="M387" s="20" t="n">
        <x:v>46218</x:v>
      </x:c>
      <x:c r="N387" s="21" t="n">
        <x:v>66</x:v>
      </x:c>
      <x:c r="O387" s="21" t="n">
        <x:v>98</x:v>
      </x:c>
      <x:c r="P387" s="21" t="n">
        <x:v>202</x:v>
      </x:c>
      <x:c r="Q387" s="21" t="n">
        <x:v>1</x:v>
      </x:c>
      <x:c r="R387" s="21" t="n">
        <x:v>1</x:v>
      </x:c>
      <x:c r="S387" s="17" t="str">
        <x:v>갈마동 칼국수</x:v>
      </x:c>
      <x:c r="T387" s="22" t="n">
        <x:v>36.3477738</x:v>
      </x:c>
      <x:c r="U387" s="22" t="n">
        <x:v>127.3756894</x:v>
      </x:c>
    </x:row>
    <x:row r="388" ht="32" customHeight="1">
      <x:c r="A388" s="18" t="str">
        <x:v>pending</x:v>
      </x:c>
      <x:c r="B388" s="18" t="str">
        <x:v>서구</x:v>
      </x:c>
      <x:c r="C388" s="17" t="str">
        <x:v>시인의 바다</x:v>
      </x:c>
      <x:c r="D388" s="17" t="str">
        <x:v>음식점&gt;한식</x:v>
      </x:c>
      <x:c r="E388" s="19" t="n">
        <x:v>53</x:v>
      </x:c>
      <x:c r="F388" s="17" t="str">
        <x:v>최근 12개월 블로그 34건</x:v>
      </x:c>
      <x:c r="G388" s="17" t="str">
        <x:v>대전광역시 서구 갈마동 337-32</x:v>
      </x:c>
      <x:c r="H388" s="17" t="str">
        <x:v>대전광역시 서구 신갈마로181번길 5</x:v>
      </x:c>
      <x:c r="I388" s="18" t="e">
        <x:f>HYPERLINK("https://search.naver.com/search.naver?where=blog&amp;query=%EC%8B%9C%EC%9D%B8%EC%9D%98+%EB%B0%94%EB%8B%A4+%EC%84%9C%EA%B5%AC","블로그 보기")</x:f>
        <x:v>HYPERLINK is not implemented. linkLocation=https://search.naver.com/search.naver?where=blog&amp;query=%EC%8B%9C%EC%9D%B8%EC%9D%98+%EB%B0%94%EB%8B%A4+%EC%84%9C%EA%B5%AC, friendlyName=블로그 보기</x:v>
      </x:c>
      <x:c r="J388" s="18" t="e">
        <x:f>HYPERLINK("https://blog.naver.com/farewell7","업체 보기")</x:f>
        <x:v>HYPERLINK is not implemented. linkLocation=https://blog.naver.com/farewell7, friendlyName=업체 보기</x:v>
      </x:c>
      <x:c r="K388" s="18" t="str"/>
      <x:c r="L388" s="17" t="str"/>
      <x:c r="M388" s="20" t="n">
        <x:v>46180</x:v>
      </x:c>
      <x:c r="N388" s="21" t="n">
        <x:v>34</x:v>
      </x:c>
      <x:c r="O388" s="21" t="n">
        <x:v>93</x:v>
      </x:c>
      <x:c r="P388" s="21" t="n">
        <x:v>209</x:v>
      </x:c>
      <x:c r="Q388" s="21" t="n">
        <x:v>1</x:v>
      </x:c>
      <x:c r="R388" s="21" t="n">
        <x:v>1</x:v>
      </x:c>
      <x:c r="S388" s="17" t="str">
        <x:v>갈마동 칼국수</x:v>
      </x:c>
      <x:c r="T388" s="22" t="n">
        <x:v>36.349739</x:v>
      </x:c>
      <x:c r="U388" s="22" t="n">
        <x:v>127.3677721</x:v>
      </x:c>
    </x:row>
    <x:row r="389" ht="32" customHeight="1">
      <x:c r="A389" s="18" t="str">
        <x:v>pending</x:v>
      </x:c>
      <x:c r="B389" s="18" t="str">
        <x:v>서구</x:v>
      </x:c>
      <x:c r="C389" s="17" t="str">
        <x:v>오가네대구왕뽈떼기 아구도발</x:v>
      </x:c>
      <x:c r="D389" s="17" t="str">
        <x:v>음식점&gt;한식</x:v>
      </x:c>
      <x:c r="E389" s="19" t="n">
        <x:v>53</x:v>
      </x:c>
      <x:c r="F389" s="17" t="str">
        <x:v>최근 12개월 블로그 34건</x:v>
      </x:c>
      <x:c r="G389" s="17" t="str">
        <x:v>대전광역시 서구 갈마동 338-3 1층 아구도발</x:v>
      </x:c>
      <x:c r="H389" s="17" t="str">
        <x:v>대전광역시 서구 갈마로 36 1층 아구도발</x:v>
      </x:c>
      <x:c r="I389" s="18" t="e">
        <x:f>HYPERLINK("https://search.naver.com/search.naver?where=blog&amp;query=%EC%98%A4%EA%B0%80%EB%84%A4%EB%8C%80%EA%B5%AC%EC%99%95%EB%BD%88%EB%96%BC%EA%B8%B0+%EC%95%84%EA%B5%AC%EB%8F%84%EB%B0%9C+%EC%84%9C%EA%B5%AC","블로그 보기")</x:f>
        <x:v>HYPERLINK is not implemented. linkLocation=https://search.naver.com/search.naver?where=blog&amp;query=%EC%98%A4%EA%B0%80%EB%84%A4%EB%8C%80%EA%B5%AC%EC%99%95%EB%BD%88%EB%96%BC%EA%B8%B0+%EC%95%84%EA%B5%AC%EB%8F%84%EB%B0%9C+%EC%84%9C%EA%B5%AC, friendlyName=블로그 보기</x:v>
      </x:c>
      <x:c r="J389" s="18" t="str"/>
      <x:c r="K389" s="18" t="str"/>
      <x:c r="L389" s="17" t="str"/>
      <x:c r="M389" s="20" t="n">
        <x:v>46218</x:v>
      </x:c>
      <x:c r="N389" s="21" t="n">
        <x:v>34</x:v>
      </x:c>
      <x:c r="O389" s="21" t="n">
        <x:v>79</x:v>
      </x:c>
      <x:c r="P389" s="21" t="n">
        <x:v>93</x:v>
      </x:c>
      <x:c r="Q389" s="21" t="n">
        <x:v>2</x:v>
      </x:c>
      <x:c r="R389" s="21" t="n">
        <x:v>0</x:v>
      </x:c>
      <x:c r="S389" s="17" t="str">
        <x:v>갈마동 맛집 | 갈마동 한식</x:v>
      </x:c>
      <x:c r="T389" s="22" t="n">
        <x:v>36.349079</x:v>
      </x:c>
      <x:c r="U389" s="22" t="n">
        <x:v>127.3689272</x:v>
      </x:c>
    </x:row>
    <x:row r="390" ht="32" customHeight="1">
      <x:c r="A390" s="18" t="str">
        <x:v>pending</x:v>
      </x:c>
      <x:c r="B390" s="18" t="str">
        <x:v>서구</x:v>
      </x:c>
      <x:c r="C390" s="17" t="str">
        <x:v>오마카세키친</x:v>
      </x:c>
      <x:c r="D390" s="17" t="str">
        <x:v>한식&gt;생선회</x:v>
      </x:c>
      <x:c r="E390" s="19" t="n">
        <x:v>53</x:v>
      </x:c>
      <x:c r="F390" s="17" t="str">
        <x:v>최근 12개월 블로그 100건</x:v>
      </x:c>
      <x:c r="G390" s="17" t="str">
        <x:v>대전광역시 서구 둔산동 1005 로뎀빌딩 2층</x:v>
      </x:c>
      <x:c r="H390" s="17" t="str">
        <x:v>대전광역시 서구 둔산로31번길 52 로뎀빌딩 2층</x:v>
      </x:c>
      <x:c r="I390" s="18" t="e">
        <x:f>HYPERLINK("https://search.naver.com/search.naver?where=blog&amp;query=%EC%98%A4%EB%A7%88%EC%B9%B4%EC%84%B8%ED%82%A4%EC%B9%9C+%EC%84%9C%EA%B5%AC","블로그 보기")</x:f>
        <x:v>HYPERLINK is not implemented. linkLocation=https://search.naver.com/search.naver?where=blog&amp;query=%EC%98%A4%EB%A7%88%EC%B9%B4%EC%84%B8%ED%82%A4%EC%B9%9C+%EC%84%9C%EA%B5%AC, friendlyName=블로그 보기</x:v>
      </x:c>
      <x:c r="J390" s="18" t="e">
        <x:f>HYPERLINK("http://omakase-kitchen.zeep.kr/","업체 보기")</x:f>
        <x:v>HYPERLINK is not implemented. linkLocation=http://omakase-kitchen.zeep.kr/, friendlyName=업체 보기</x:v>
      </x:c>
      <x:c r="K390" s="18" t="str"/>
      <x:c r="L390" s="17" t="str"/>
      <x:c r="M390" s="20" t="n">
        <x:v>46222</x:v>
      </x:c>
      <x:c r="N390" s="21" t="n">
        <x:v>100</x:v>
      </x:c>
      <x:c r="O390" s="21" t="n">
        <x:v>97</x:v>
      </x:c>
      <x:c r="P390" s="21" t="n">
        <x:v>1154</x:v>
      </x:c>
      <x:c r="Q390" s="21" t="n">
        <x:v>1</x:v>
      </x:c>
      <x:c r="R390" s="21" t="n">
        <x:v>0</x:v>
      </x:c>
      <x:c r="S390" s="17" t="str">
        <x:v>둔산동 해산물</x:v>
      </x:c>
      <x:c r="T390" s="22" t="n">
        <x:v>36.3540722</x:v>
      </x:c>
      <x:c r="U390" s="22" t="n">
        <x:v>127.377737</x:v>
      </x:c>
    </x:row>
    <x:row r="391" ht="32" customHeight="1">
      <x:c r="A391" s="18" t="str">
        <x:v>pending</x:v>
      </x:c>
      <x:c r="B391" s="18" t="str">
        <x:v>서구</x:v>
      </x:c>
      <x:c r="C391" s="17" t="str">
        <x:v>용주</x:v>
      </x:c>
      <x:c r="D391" s="17" t="str">
        <x:v>술집&gt;요리주점</x:v>
      </x:c>
      <x:c r="E391" s="19" t="n">
        <x:v>53</x:v>
      </x:c>
      <x:c r="F391" s="17" t="str">
        <x:v>최근 12개월 블로그 100건</x:v>
      </x:c>
      <x:c r="G391" s="17" t="str">
        <x:v>대전광역시 서구 갈마동 1027 1층 101호</x:v>
      </x:c>
      <x:c r="H391" s="17" t="str">
        <x:v>대전광역시 서구 대덕대로161번길 31 1층 101호</x:v>
      </x:c>
      <x:c r="I391" s="18" t="e">
        <x:f>HYPERLINK("https://search.naver.com/search.naver?where=blog&amp;query=%EC%9A%A9%EC%A3%BC+%EC%84%9C%EA%B5%AC","블로그 보기")</x:f>
        <x:v>HYPERLINK is not implemented. linkLocation=https://search.naver.com/search.naver?where=blog&amp;query=%EC%9A%A9%EC%A3%BC+%EC%84%9C%EA%B5%AC, friendlyName=블로그 보기</x:v>
      </x:c>
      <x:c r="J391" s="18" t="e">
        <x:f>HYPERLINK("https://www.instagram.com/yongju4000?igsh=amtwam1yN29jcW1y&amp;utm_source=qr","업체 보기")</x:f>
        <x:v>HYPERLINK is not implemented. linkLocation=https://www.instagram.com/yongju4000?igsh=amtwam1yN29jcW1y&amp;utm_source=qr, friendlyName=업체 보기</x:v>
      </x:c>
      <x:c r="K391" s="18" t="str"/>
      <x:c r="L391" s="17" t="str"/>
      <x:c r="M391" s="20" t="n">
        <x:v>46223</x:v>
      </x:c>
      <x:c r="N391" s="21" t="n">
        <x:v>100</x:v>
      </x:c>
      <x:c r="O391" s="21" t="n">
        <x:v>98</x:v>
      </x:c>
      <x:c r="P391" s="21" t="n">
        <x:v>1589</x:v>
      </x:c>
      <x:c r="Q391" s="21" t="n">
        <x:v>1</x:v>
      </x:c>
      <x:c r="R391" s="21" t="n">
        <x:v>0</x:v>
      </x:c>
      <x:c r="S391" s="17" t="str">
        <x:v>갈마동 칼국수</x:v>
      </x:c>
      <x:c r="T391" s="22" t="n">
        <x:v>36.3486982</x:v>
      </x:c>
      <x:c r="U391" s="22" t="n">
        <x:v>127.3745625</x:v>
      </x:c>
    </x:row>
    <x:row r="392" ht="32" customHeight="1">
      <x:c r="A392" s="18" t="str">
        <x:v>pending</x:v>
      </x:c>
      <x:c r="B392" s="18" t="str">
        <x:v>서구</x:v>
      </x:c>
      <x:c r="C392" s="17" t="str">
        <x:v>이비가짬뽕 시청점</x:v>
      </x:c>
      <x:c r="D392" s="17" t="str">
        <x:v>음식점&gt;중식당</x:v>
      </x:c>
      <x:c r="E392" s="19" t="n">
        <x:v>53</x:v>
      </x:c>
      <x:c r="F392" s="17" t="str">
        <x:v>최근 12개월 블로그 18건</x:v>
      </x:c>
      <x:c r="G392" s="17" t="str">
        <x:v>대전광역시 서구 둔산동 1447 1층</x:v>
      </x:c>
      <x:c r="H392" s="17" t="str">
        <x:v>대전광역시 서구 둔산중로40번길 19 1층</x:v>
      </x:c>
      <x:c r="I392" s="18" t="e">
        <x:f>HYPERLINK("https://search.naver.com/search.naver?where=blog&amp;query=%EC%9D%B4%EB%B9%84%EA%B0%80%EC%A7%AC%EB%BD%95+%EC%8B%9C%EC%B2%AD%EC%A0%90+%EC%84%9C%EA%B5%AC","블로그 보기")</x:f>
        <x:v>HYPERLINK is not implemented. linkLocation=https://search.naver.com/search.naver?where=blog&amp;query=%EC%9D%B4%EB%B9%84%EA%B0%80%EC%A7%AC%EB%BD%95+%EC%8B%9C%EC%B2%AD%EC%A0%90+%EC%84%9C%EA%B5%AC, friendlyName=블로그 보기</x:v>
      </x:c>
      <x:c r="J392" s="18" t="str"/>
      <x:c r="K392" s="18" t="str"/>
      <x:c r="L392" s="17" t="str"/>
      <x:c r="M392" s="20" t="n">
        <x:v>46213</x:v>
      </x:c>
      <x:c r="N392" s="21" t="n">
        <x:v>18</x:v>
      </x:c>
      <x:c r="O392" s="21" t="n">
        <x:v>76</x:v>
      </x:c>
      <x:c r="P392" s="21" t="n">
        <x:v>120</x:v>
      </x:c>
      <x:c r="Q392" s="21" t="n">
        <x:v>1</x:v>
      </x:c>
      <x:c r="R392" s="21" t="n">
        <x:v>1</x:v>
      </x:c>
      <x:c r="S392" s="17" t="str">
        <x:v>둔산동 중식</x:v>
      </x:c>
      <x:c r="T392" s="22" t="n">
        <x:v>36.3503394</x:v>
      </x:c>
      <x:c r="U392" s="22" t="n">
        <x:v>127.3878267</x:v>
      </x:c>
    </x:row>
    <x:row r="393" ht="32" customHeight="1">
      <x:c r="A393" s="18" t="str">
        <x:v>pending</x:v>
      </x:c>
      <x:c r="B393" s="18" t="str">
        <x:v>서구</x:v>
      </x:c>
      <x:c r="C393" s="17" t="str">
        <x:v>족발이랑칼국시</x:v>
      </x:c>
      <x:c r="D393" s="17" t="str">
        <x:v>한식&gt;족발,보쌈</x:v>
      </x:c>
      <x:c r="E393" s="19" t="n">
        <x:v>53</x:v>
      </x:c>
      <x:c r="F393" s="17" t="str">
        <x:v>최근 12개월 블로그 41건</x:v>
      </x:c>
      <x:c r="G393" s="17" t="str">
        <x:v>대전광역시 서구 갈마동 1356-1</x:v>
      </x:c>
      <x:c r="H393" s="17" t="str">
        <x:v>대전광역시 서구 갈마로147번길 58</x:v>
      </x:c>
      <x:c r="I393" s="18" t="e">
        <x:f>HYPERLINK("https://search.naver.com/search.naver?where=blog&amp;query=%EC%A1%B1%EB%B0%9C%EC%9D%B4%EB%9E%91%EC%B9%BC%EA%B5%AD%EC%8B%9C+%EC%84%9C%EA%B5%AC","블로그 보기")</x:f>
        <x:v>HYPERLINK is not implemented. linkLocation=https://search.naver.com/search.naver?where=blog&amp;query=%EC%A1%B1%EB%B0%9C%EC%9D%B4%EB%9E%91%EC%B9%BC%EA%B5%AD%EC%8B%9C+%EC%84%9C%EA%B5%AC, friendlyName=블로그 보기</x:v>
      </x:c>
      <x:c r="J393" s="18" t="str"/>
      <x:c r="K393" s="18" t="str"/>
      <x:c r="L393" s="17" t="str"/>
      <x:c r="M393" s="20" t="n">
        <x:v>46133</x:v>
      </x:c>
      <x:c r="N393" s="21" t="n">
        <x:v>41</x:v>
      </x:c>
      <x:c r="O393" s="21" t="n">
        <x:v>52</x:v>
      </x:c>
      <x:c r="P393" s="21" t="n">
        <x:v>103</x:v>
      </x:c>
      <x:c r="Q393" s="21" t="n">
        <x:v>1</x:v>
      </x:c>
      <x:c r="R393" s="21" t="n">
        <x:v>1</x:v>
      </x:c>
      <x:c r="S393" s="17" t="str">
        <x:v>갈마동 두부두루치기</x:v>
      </x:c>
      <x:c r="T393" s="22" t="n">
        <x:v>36.3410678</x:v>
      </x:c>
      <x:c r="U393" s="22" t="n">
        <x:v>127.3767985</x:v>
      </x:c>
    </x:row>
    <x:row r="394" ht="32" customHeight="1">
      <x:c r="A394" s="18" t="str">
        <x:v>pending</x:v>
      </x:c>
      <x:c r="B394" s="18" t="str">
        <x:v>서구</x:v>
      </x:c>
      <x:c r="C394" s="17" t="str">
        <x:v>카우카우 둔산점</x:v>
      </x:c>
      <x:c r="D394" s="17" t="str">
        <x:v>한식&gt;소고기구이</x:v>
      </x:c>
      <x:c r="E394" s="19" t="n">
        <x:v>53</x:v>
      </x:c>
      <x:c r="F394" s="17" t="str">
        <x:v>최근 12개월 블로그 87건</x:v>
      </x:c>
      <x:c r="G394" s="17" t="str">
        <x:v>대전광역시 서구 둔산동 1068 2층 01호 카우카우 둔산점</x:v>
      </x:c>
      <x:c r="H394" s="17" t="str">
        <x:v>대전광역시 서구 둔지로 18 2층 01호 카우카우 둔산점</x:v>
      </x:c>
      <x:c r="I394" s="18" t="e">
        <x:f>HYPERLINK("https://search.naver.com/search.naver?where=blog&amp;query=%EC%B9%B4%EC%9A%B0%EC%B9%B4%EC%9A%B0+%EB%91%94%EC%82%B0%EC%A0%90+%EC%84%9C%EA%B5%AC","블로그 보기")</x:f>
        <x:v>HYPERLINK is not implemented. linkLocation=https://search.naver.com/search.naver?where=blog&amp;query=%EC%B9%B4%EC%9A%B0%EC%B9%B4%EC%9A%B0+%EB%91%94%EC%82%B0%EC%A0%90+%EC%84%9C%EA%B5%AC, friendlyName=블로그 보기</x:v>
      </x:c>
      <x:c r="J394" s="18" t="str"/>
      <x:c r="K394" s="18" t="str"/>
      <x:c r="L394" s="17" t="str"/>
      <x:c r="M394" s="20" t="n">
        <x:v>46218</x:v>
      </x:c>
      <x:c r="N394" s="21" t="n">
        <x:v>87</x:v>
      </x:c>
      <x:c r="O394" s="21" t="n">
        <x:v>87</x:v>
      </x:c>
      <x:c r="P394" s="21" t="n">
        <x:v>87</x:v>
      </x:c>
      <x:c r="Q394" s="21" t="n">
        <x:v>2</x:v>
      </x:c>
      <x:c r="R394" s="21" t="n">
        <x:v>0</x:v>
      </x:c>
      <x:c r="S394" s="17" t="str">
        <x:v>둔산동 고기 | 둔산동 한식</x:v>
      </x:c>
      <x:c r="T394" s="22" t="n">
        <x:v>36.3512696</x:v>
      </x:c>
      <x:c r="U394" s="22" t="n">
        <x:v>127.376305</x:v>
      </x:c>
    </x:row>
    <x:row r="395" ht="32" customHeight="1">
      <x:c r="A395" s="18" t="str">
        <x:v>pending</x:v>
      </x:c>
      <x:c r="B395" s="18" t="str">
        <x:v>서구</x:v>
      </x:c>
      <x:c r="C395" s="17" t="str">
        <x:v>동백카츠 둔산점</x:v>
      </x:c>
      <x:c r="D395" s="17" t="str">
        <x:v>음식점&gt;일식&gt;돈가스</x:v>
      </x:c>
      <x:c r="E395" s="19" t="n">
        <x:v>52</x:v>
      </x:c>
      <x:c r="F395" s="17" t="str">
        <x:v>최근 12개월 블로그 100건</x:v>
      </x:c>
      <x:c r="G395" s="17" t="str">
        <x:v>대전광역시 서구 둔산동 1004 1층 동백카츠</x:v>
      </x:c>
      <x:c r="H395" s="17" t="str">
        <x:v>대전광역시 서구 둔산로31번길 56 1층 동백카츠</x:v>
      </x:c>
      <x:c r="I395" s="18" t="e">
        <x:f>HYPERLINK("https://search.naver.com/search.naver?where=blog&amp;query=%EB%8F%99%EB%B0%B1%EC%B9%B4%EC%B8%A0+%EB%91%94%EC%82%B0%EC%A0%90+%EC%84%9C%EA%B5%AC","블로그 보기")</x:f>
        <x:v>HYPERLINK is not implemented. linkLocation=https://search.naver.com/search.naver?where=blog&amp;query=%EB%8F%99%EB%B0%B1%EC%B9%B4%EC%B8%A0+%EB%91%94%EC%82%B0%EC%A0%90+%EC%84%9C%EA%B5%AC, friendlyName=블로그 보기</x:v>
      </x:c>
      <x:c r="J395" s="18" t="e">
        <x:f>HYPERLINK("https://www.instagram.com/dongbaek.cutlet/","업체 보기")</x:f>
        <x:v>HYPERLINK is not implemented. linkLocation=https://www.instagram.com/dongbaek.cutlet/, friendlyName=업체 보기</x:v>
      </x:c>
      <x:c r="K395" s="18" t="str"/>
      <x:c r="L395" s="17" t="str"/>
      <x:c r="M395" s="20" t="n">
        <x:v>46222</x:v>
      </x:c>
      <x:c r="N395" s="21" t="n">
        <x:v>100</x:v>
      </x:c>
      <x:c r="O395" s="21" t="n">
        <x:v>98</x:v>
      </x:c>
      <x:c r="P395" s="21" t="n">
        <x:v>491</x:v>
      </x:c>
      <x:c r="Q395" s="21" t="n">
        <x:v>1</x:v>
      </x:c>
      <x:c r="R395" s="21" t="n">
        <x:v>0</x:v>
      </x:c>
      <x:c r="S395" s="17" t="str">
        <x:v>둔산동 맛집</x:v>
      </x:c>
      <x:c r="T395" s="22" t="n">
        <x:v>36.3543187</x:v>
      </x:c>
      <x:c r="U395" s="22" t="n">
        <x:v>127.3776607</x:v>
      </x:c>
    </x:row>
    <x:row r="396" ht="32" customHeight="1">
      <x:c r="A396" s="18" t="str">
        <x:v>pending</x:v>
      </x:c>
      <x:c r="B396" s="18" t="str">
        <x:v>서구</x:v>
      </x:c>
      <x:c r="C396" s="17" t="str">
        <x:v>만전 대전시청점</x:v>
      </x:c>
      <x:c r="D396" s="17" t="str">
        <x:v>한식&gt;육류,고기요리</x:v>
      </x:c>
      <x:c r="E396" s="19" t="n">
        <x:v>52</x:v>
      </x:c>
      <x:c r="F396" s="17" t="str">
        <x:v>지역성: 대전; 최근 12개월 블로그 11건</x:v>
      </x:c>
      <x:c r="G396" s="17" t="str">
        <x:v>대전광역시 서구 둔산동 1439 1층</x:v>
      </x:c>
      <x:c r="H396" s="17" t="str">
        <x:v>대전광역시 서구 둔산중로40번길 20 1층</x:v>
      </x:c>
      <x:c r="I396" s="18" t="e">
        <x:f>HYPERLINK("https://search.naver.com/search.naver?where=blog&amp;query=%EB%A7%8C%EC%A0%84+%EB%8C%80%EC%A0%84%EC%8B%9C%EC%B2%AD%EC%A0%90+%EC%84%9C%EA%B5%AC","블로그 보기")</x:f>
        <x:v>HYPERLINK is not implemented. linkLocation=https://search.naver.com/search.naver?where=blog&amp;query=%EB%A7%8C%EC%A0%84+%EB%8C%80%EC%A0%84%EC%8B%9C%EC%B2%AD%EC%A0%90+%EC%84%9C%EA%B5%AC, friendlyName=블로그 보기</x:v>
      </x:c>
      <x:c r="J396" s="18" t="str"/>
      <x:c r="K396" s="18" t="str"/>
      <x:c r="L396" s="17" t="str"/>
      <x:c r="M396" s="20" t="n">
        <x:v>46209</x:v>
      </x:c>
      <x:c r="N396" s="21" t="n">
        <x:v>11</x:v>
      </x:c>
      <x:c r="O396" s="21" t="n">
        <x:v>12</x:v>
      </x:c>
      <x:c r="P396" s="21" t="n">
        <x:v>12</x:v>
      </x:c>
      <x:c r="Q396" s="21" t="n">
        <x:v>1</x:v>
      </x:c>
      <x:c r="R396" s="21" t="n">
        <x:v>0</x:v>
      </x:c>
      <x:c r="S396" s="17" t="str">
        <x:v>둔산동 국밥</x:v>
      </x:c>
      <x:c r="T396" s="22" t="n">
        <x:v>36.3499051</x:v>
      </x:c>
      <x:c r="U396" s="22" t="n">
        <x:v>127.3878115</x:v>
      </x:c>
    </x:row>
    <x:row r="397" ht="32" customHeight="1">
      <x:c r="A397" s="18" t="str">
        <x:v>pending</x:v>
      </x:c>
      <x:c r="B397" s="18" t="str">
        <x:v>서구</x:v>
      </x:c>
      <x:c r="C397" s="17" t="str">
        <x:v>맛찬들왕소금구이 둔산점</x:v>
      </x:c>
      <x:c r="D397" s="17" t="str">
        <x:v>한식&gt;육류,고기요리</x:v>
      </x:c>
      <x:c r="E397" s="19" t="n">
        <x:v>52</x:v>
      </x:c>
      <x:c r="F397" s="17" t="str">
        <x:v>최근 12개월 블로그 18건</x:v>
      </x:c>
      <x:c r="G397" s="17" t="str">
        <x:v>대전광역시 서구 둔산동 1448 1층 101호</x:v>
      </x:c>
      <x:c r="H397" s="17" t="str">
        <x:v>대전광역시 서구 둔산중로46번길 22 1층 101호</x:v>
      </x:c>
      <x:c r="I397" s="18" t="e">
        <x:f>HYPERLINK("https://search.naver.com/search.naver?where=blog&amp;query=%EB%A7%9B%EC%B0%AC%EB%93%A4%EC%99%95%EC%86%8C%EA%B8%88%EA%B5%AC%EC%9D%B4+%EB%91%94%EC%82%B0%EC%A0%90+%EC%84%9C%EA%B5%AC","블로그 보기")</x:f>
        <x:v>HYPERLINK is not implemented. linkLocation=https://search.naver.com/search.naver?where=blog&amp;query=%EB%A7%9B%EC%B0%AC%EB%93%A4%EC%99%95%EC%86%8C%EA%B8%88%EA%B5%AC%EC%9D%B4+%EB%91%94%EC%82%B0%EC%A0%90+%EC%84%9C%EA%B5%AC, friendlyName=블로그 보기</x:v>
      </x:c>
      <x:c r="J397" s="18" t="str"/>
      <x:c r="K397" s="18" t="str"/>
      <x:c r="L397" s="17" t="str"/>
      <x:c r="M397" s="20" t="n">
        <x:v>46218</x:v>
      </x:c>
      <x:c r="N397" s="21" t="n">
        <x:v>18</x:v>
      </x:c>
      <x:c r="O397" s="21" t="n">
        <x:v>77</x:v>
      </x:c>
      <x:c r="P397" s="21" t="n">
        <x:v>82</x:v>
      </x:c>
      <x:c r="Q397" s="21" t="n">
        <x:v>1</x:v>
      </x:c>
      <x:c r="R397" s="21" t="n">
        <x:v>1</x:v>
      </x:c>
      <x:c r="S397" s="17" t="str">
        <x:v>둔산동 국밥</x:v>
      </x:c>
      <x:c r="T397" s="22" t="n">
        <x:v>36.3506741</x:v>
      </x:c>
      <x:c r="U397" s="22" t="n">
        <x:v>127.3878247</x:v>
      </x:c>
    </x:row>
    <x:row r="398" ht="32" customHeight="1">
      <x:c r="A398" s="18" t="str">
        <x:v>pending</x:v>
      </x:c>
      <x:c r="B398" s="18" t="str">
        <x:v>서구</x:v>
      </x:c>
      <x:c r="C398" s="17" t="str">
        <x:v>모리아</x:v>
      </x:c>
      <x:c r="D398" s="17" t="str">
        <x:v>음식점&gt;일식&gt;일식당</x:v>
      </x:c>
      <x:c r="E398" s="19" t="n">
        <x:v>52</x:v>
      </x:c>
      <x:c r="F398" s="17" t="str">
        <x:v>최근 12개월 블로그 100건</x:v>
      </x:c>
      <x:c r="G398" s="17" t="str">
        <x:v>대전광역시 서구 둔산동 1434 1층 102호</x:v>
      </x:c>
      <x:c r="H398" s="17" t="str">
        <x:v>대전광역시 서구 둔산중로32번길 35 1층 102호</x:v>
      </x:c>
      <x:c r="I398" s="18" t="e">
        <x:f>HYPERLINK("https://search.naver.com/search.naver?where=blog&amp;query=%EB%AA%A8%EB%A6%AC%EC%95%84+%EC%84%9C%EA%B5%AC","블로그 보기")</x:f>
        <x:v>HYPERLINK is not implemented. linkLocation=https://search.naver.com/search.naver?where=blog&amp;query=%EB%AA%A8%EB%A6%AC%EC%95%84+%EC%84%9C%EA%B5%AC, friendlyName=블로그 보기</x:v>
      </x:c>
      <x:c r="J398" s="18" t="e">
        <x:f>HYPERLINK("https://www.instagram.com/moria._.officially","업체 보기")</x:f>
        <x:v>HYPERLINK is not implemented. linkLocation=https://www.instagram.com/moria._.officially, friendlyName=업체 보기</x:v>
      </x:c>
      <x:c r="K398" s="18" t="str"/>
      <x:c r="L398" s="17" t="str"/>
      <x:c r="M398" s="20" t="n">
        <x:v>46222</x:v>
      </x:c>
      <x:c r="N398" s="21" t="n">
        <x:v>100</x:v>
      </x:c>
      <x:c r="O398" s="21" t="n">
        <x:v>100</x:v>
      </x:c>
      <x:c r="P398" s="21" t="n">
        <x:v>725</x:v>
      </x:c>
      <x:c r="Q398" s="21" t="n">
        <x:v>1</x:v>
      </x:c>
      <x:c r="R398" s="21" t="n">
        <x:v>0</x:v>
      </x:c>
      <x:c r="S398" s="17" t="str">
        <x:v>둔산동 일식</x:v>
      </x:c>
      <x:c r="T398" s="22" t="n">
        <x:v>36.3495921</x:v>
      </x:c>
      <x:c r="U398" s="22" t="n">
        <x:v>127.3886675</x:v>
      </x:c>
    </x:row>
    <x:row r="399" ht="32" customHeight="1">
      <x:c r="A399" s="18" t="str">
        <x:v>pending</x:v>
      </x:c>
      <x:c r="B399" s="18" t="str">
        <x:v>서구</x:v>
      </x:c>
      <x:c r="C399" s="17" t="str">
        <x:v>신선칡냉면</x:v>
      </x:c>
      <x:c r="D399" s="17" t="str">
        <x:v>한식&gt;냉면</x:v>
      </x:c>
      <x:c r="E399" s="19" t="n">
        <x:v>52</x:v>
      </x:c>
      <x:c r="F399" s="17" t="str">
        <x:v>최근 12개월 블로그 99건</x:v>
      </x:c>
      <x:c r="G399" s="17" t="str">
        <x:v>대전광역시 서구 둔산동 1966 1층</x:v>
      </x:c>
      <x:c r="H399" s="17" t="str">
        <x:v>대전광역시 서구 둔산로218번길 26 1층</x:v>
      </x:c>
      <x:c r="I399" s="18" t="e">
        <x:f>HYPERLINK("https://search.naver.com/search.naver?where=blog&amp;query=%EC%8B%A0%EC%84%A0%EC%B9%A1%EB%83%89%EB%A9%B4+%EC%84%9C%EA%B5%AC","블로그 보기")</x:f>
        <x:v>HYPERLINK is not implemented. linkLocation=https://search.naver.com/search.naver?where=blog&amp;query=%EC%8B%A0%EC%84%A0%EC%B9%A1%EB%83%89%EB%A9%B4+%EC%84%9C%EA%B5%AC, friendlyName=블로그 보기</x:v>
      </x:c>
      <x:c r="J399" s="18" t="str"/>
      <x:c r="K399" s="18" t="str"/>
      <x:c r="L399" s="17" t="str"/>
      <x:c r="M399" s="20" t="n">
        <x:v>46220</x:v>
      </x:c>
      <x:c r="N399" s="21" t="n">
        <x:v>99</x:v>
      </x:c>
      <x:c r="O399" s="21" t="n">
        <x:v>97</x:v>
      </x:c>
      <x:c r="P399" s="21" t="n">
        <x:v>606</x:v>
      </x:c>
      <x:c r="Q399" s="21" t="n">
        <x:v>1</x:v>
      </x:c>
      <x:c r="R399" s="21" t="n">
        <x:v>0</x:v>
      </x:c>
      <x:c r="S399" s="17" t="str">
        <x:v>둔산동 냉면</x:v>
      </x:c>
      <x:c r="T399" s="22" t="n">
        <x:v>36.3500077</x:v>
      </x:c>
      <x:c r="U399" s="22" t="n">
        <x:v>127.3980754</x:v>
      </x:c>
    </x:row>
    <x:row r="400" ht="32" customHeight="1">
      <x:c r="A400" s="18" t="str">
        <x:v>pending</x:v>
      </x:c>
      <x:c r="B400" s="18" t="str">
        <x:v>서구</x:v>
      </x:c>
      <x:c r="C400" s="17" t="str">
        <x:v>추성순대족발</x:v>
      </x:c>
      <x:c r="D400" s="17" t="str">
        <x:v>한식&gt;순대,순댓국</x:v>
      </x:c>
      <x:c r="E400" s="19" t="n">
        <x:v>52</x:v>
      </x:c>
      <x:c r="F400" s="17" t="str">
        <x:v>최근 12개월 블로그 38건</x:v>
      </x:c>
      <x:c r="G400" s="17" t="str">
        <x:v>대전광역시 서구 둔산동 925 1층</x:v>
      </x:c>
      <x:c r="H400" s="17" t="str">
        <x:v>대전광역시 서구 둔산중로134번길 39 1층</x:v>
      </x:c>
      <x:c r="I400" s="18" t="e">
        <x:f>HYPERLINK("https://search.naver.com/search.naver?where=blog&amp;query=%EC%B6%94%EC%84%B1%EC%88%9C%EB%8C%80%EC%A1%B1%EB%B0%9C+%EC%84%9C%EA%B5%AC","블로그 보기")</x:f>
        <x:v>HYPERLINK is not implemented. linkLocation=https://search.naver.com/search.naver?where=blog&amp;query=%EC%B6%94%EC%84%B1%EC%88%9C%EB%8C%80%EC%A1%B1%EB%B0%9C+%EC%84%9C%EA%B5%AC, friendlyName=블로그 보기</x:v>
      </x:c>
      <x:c r="J400" s="18" t="str"/>
      <x:c r="K400" s="18" t="str"/>
      <x:c r="L400" s="17" t="str"/>
      <x:c r="M400" s="20" t="n">
        <x:v>46220</x:v>
      </x:c>
      <x:c r="N400" s="21" t="n">
        <x:v>38</x:v>
      </x:c>
      <x:c r="O400" s="21" t="n">
        <x:v>54</x:v>
      </x:c>
      <x:c r="P400" s="21" t="n">
        <x:v>88</x:v>
      </x:c>
      <x:c r="Q400" s="21" t="n">
        <x:v>1</x:v>
      </x:c>
      <x:c r="R400" s="21" t="n">
        <x:v>1</x:v>
      </x:c>
      <x:c r="S400" s="17" t="str">
        <x:v>둔산동 삼계탕</x:v>
      </x:c>
      <x:c r="T400" s="22" t="n">
        <x:v>36.358873</x:v>
      </x:c>
      <x:c r="U400" s="22" t="n">
        <x:v>127.3892282</x:v>
      </x:c>
    </x:row>
    <x:row r="401" ht="32" customHeight="1">
      <x:c r="A401" s="18" t="str">
        <x:v>pending</x:v>
      </x:c>
      <x:c r="B401" s="18" t="str">
        <x:v>서구</x:v>
      </x:c>
      <x:c r="C401" s="17" t="str">
        <x:v>둔산주먹구이</x:v>
      </x:c>
      <x:c r="D401" s="17" t="str">
        <x:v>한식&gt;돼지고기구이</x:v>
      </x:c>
      <x:c r="E401" s="19" t="n">
        <x:v>51</x:v>
      </x:c>
      <x:c r="F401" s="17" t="str">
        <x:v>최근 12개월 블로그 96건</x:v>
      </x:c>
      <x:c r="G401" s="17" t="str">
        <x:v>대전광역시 서구 갈마동 827 1층 둔산주먹구이</x:v>
      </x:c>
      <x:c r="H401" s="17" t="str">
        <x:v>대전광역시 서구 갈마역로 21 1층 둔산주먹구이</x:v>
      </x:c>
      <x:c r="I401" s="18" t="e">
        <x:f>HYPERLINK("https://search.naver.com/search.naver?where=blog&amp;query=%EB%91%94%EC%82%B0%EC%A3%BC%EB%A8%B9%EA%B5%AC%EC%9D%B4+%EC%84%9C%EA%B5%AC","블로그 보기")</x:f>
        <x:v>HYPERLINK is not implemented. linkLocation=https://search.naver.com/search.naver?where=blog&amp;query=%EB%91%94%EC%82%B0%EC%A3%BC%EB%A8%B9%EA%B5%AC%EC%9D%B4+%EC%84%9C%EA%B5%AC, friendlyName=블로그 보기</x:v>
      </x:c>
      <x:c r="J401" s="18" t="str"/>
      <x:c r="K401" s="18" t="str"/>
      <x:c r="L401" s="17" t="str"/>
      <x:c r="M401" s="20" t="n">
        <x:v>46222</x:v>
      </x:c>
      <x:c r="N401" s="21" t="n">
        <x:v>96</x:v>
      </x:c>
      <x:c r="O401" s="21" t="n">
        <x:v>96</x:v>
      </x:c>
      <x:c r="P401" s="21" t="n">
        <x:v>447</x:v>
      </x:c>
      <x:c r="Q401" s="21" t="n">
        <x:v>1</x:v>
      </x:c>
      <x:c r="R401" s="21" t="n">
        <x:v>0</x:v>
      </x:c>
      <x:c r="S401" s="17" t="str">
        <x:v>갈마동 냉면</x:v>
      </x:c>
      <x:c r="T401" s="22" t="n">
        <x:v>36.3523853</x:v>
      </x:c>
      <x:c r="U401" s="22" t="n">
        <x:v>127.3738935</x:v>
      </x:c>
    </x:row>
    <x:row r="402" ht="32" customHeight="1">
      <x:c r="A402" s="18" t="str">
        <x:v>pending</x:v>
      </x:c>
      <x:c r="B402" s="18" t="str">
        <x:v>중구</x:v>
      </x:c>
      <x:c r="C402" s="17" t="str">
        <x:v>다올칼국수</x:v>
      </x:c>
      <x:c r="D402" s="17" t="str">
        <x:v>한식&gt;칼국수,만두</x:v>
      </x:c>
      <x:c r="E402" s="19" t="n">
        <x:v>82</x:v>
      </x:c>
      <x:c r="F402" s="17" t="str">
        <x:v>지역성: 칼국수; 최근 12개월 블로그 100건</x:v>
      </x:c>
      <x:c r="G402" s="17" t="str">
        <x:v>대전광역시 중구 문화동 126-2 1층</x:v>
      </x:c>
      <x:c r="H402" s="17" t="str">
        <x:v>대전광역시 중구 보문산로293번길 7 1층</x:v>
      </x:c>
      <x:c r="I402" s="18" t="e">
        <x:f>HYPERLINK("https://search.naver.com/search.naver?where=blog&amp;query=%EB%8B%A4%EC%98%AC%EC%B9%BC%EA%B5%AD%EC%88%98+%EC%A4%91%EA%B5%AC","블로그 보기")</x:f>
        <x:v>HYPERLINK is not implemented. linkLocation=https://search.naver.com/search.naver?where=blog&amp;query=%EB%8B%A4%EC%98%AC%EC%B9%BC%EA%B5%AD%EC%88%98+%EC%A4%91%EA%B5%AC, friendlyName=블로그 보기</x:v>
      </x:c>
      <x:c r="J402" s="18" t="str"/>
      <x:c r="K402" s="18" t="str"/>
      <x:c r="L402" s="17" t="str"/>
      <x:c r="M402" s="20" t="n">
        <x:v>46207</x:v>
      </x:c>
      <x:c r="N402" s="21" t="n">
        <x:v>100</x:v>
      </x:c>
      <x:c r="O402" s="21" t="n">
        <x:v>95</x:v>
      </x:c>
      <x:c r="P402" s="21" t="n">
        <x:v>925</x:v>
      </x:c>
      <x:c r="Q402" s="21" t="n">
        <x:v>6</x:v>
      </x:c>
      <x:c r="R402" s="21" t="n">
        <x:v>3</x:v>
      </x:c>
      <x:c r="S402" s="17" t="str">
        <x:v>보문산 두부두루치기 | 보문산 칼국수 | 보문산 해산물</x:v>
      </x:c>
      <x:c r="T402" s="22" t="n">
        <x:v>36.3103892</x:v>
      </x:c>
      <x:c r="U402" s="22" t="n">
        <x:v>127.4107471</x:v>
      </x:c>
    </x:row>
    <x:row r="403" ht="32" customHeight="1">
      <x:c r="A403" s="18" t="str">
        <x:v>pending</x:v>
      </x:c>
      <x:c r="B403" s="18" t="str">
        <x:v>중구</x:v>
      </x:c>
      <x:c r="C403" s="17" t="str">
        <x:v>감자바위골</x:v>
      </x:c>
      <x:c r="D403" s="17" t="str">
        <x:v>한식&gt;칼국수,만두</x:v>
      </x:c>
      <x:c r="E403" s="19" t="n">
        <x:v>81</x:v>
      </x:c>
      <x:c r="F403" s="17" t="str">
        <x:v>지역성: 칼국수; 최근 12개월 블로그 100건</x:v>
      </x:c>
      <x:c r="G403" s="17" t="str">
        <x:v>대전광역시 중구 문창동 366-12 문창시장내 1층</x:v>
      </x:c>
      <x:c r="H403" s="17" t="str">
        <x:v>대전광역시 중구 보문로20번길 14-4 문창시장내 1층</x:v>
      </x:c>
      <x:c r="I403" s="18" t="e">
        <x:f>HYPERLINK("https://search.naver.com/search.naver?where=blog&amp;query=%EA%B0%90%EC%9E%90%EB%B0%94%EC%9C%84%EA%B3%A8+%EC%A4%91%EA%B5%AC","블로그 보기")</x:f>
        <x:v>HYPERLINK is not implemented. linkLocation=https://search.naver.com/search.naver?where=blog&amp;query=%EA%B0%90%EC%9E%90%EB%B0%94%EC%9C%84%EA%B3%A8+%EC%A4%91%EA%B5%AC, friendlyName=블로그 보기</x:v>
      </x:c>
      <x:c r="J403" s="18" t="str"/>
      <x:c r="K403" s="18" t="str"/>
      <x:c r="L403" s="17" t="str"/>
      <x:c r="M403" s="20" t="n">
        <x:v>46221</x:v>
      </x:c>
      <x:c r="N403" s="21" t="n">
        <x:v>100</x:v>
      </x:c>
      <x:c r="O403" s="21" t="n">
        <x:v>97</x:v>
      </x:c>
      <x:c r="P403" s="21" t="n">
        <x:v>804</x:v>
      </x:c>
      <x:c r="Q403" s="21" t="n">
        <x:v>4</x:v>
      </x:c>
      <x:c r="R403" s="21" t="n">
        <x:v>4</x:v>
      </x:c>
      <x:c r="S403" s="17" t="str">
        <x:v>보문산 맛집 | 보문산 칼국수 | 보문산 한식 | 보문산 해산물</x:v>
      </x:c>
      <x:c r="T403" s="22" t="n">
        <x:v>36.3150931</x:v>
      </x:c>
      <x:c r="U403" s="22" t="n">
        <x:v>127.4383735</x:v>
      </x:c>
    </x:row>
    <x:row r="404" ht="32" customHeight="1">
      <x:c r="A404" s="18" t="str">
        <x:v>pending</x:v>
      </x:c>
      <x:c r="B404" s="18" t="str">
        <x:v>중구</x:v>
      </x:c>
      <x:c r="C404" s="17" t="str">
        <x:v>보문산유씨네부엌샤브샤브</x:v>
      </x:c>
      <x:c r="D404" s="17" t="str">
        <x:v>음식점&gt;일식&gt;샤브샤브</x:v>
      </x:c>
      <x:c r="E404" s="19" t="n">
        <x:v>78</x:v>
      </x:c>
      <x:c r="F404" s="17" t="str">
        <x:v>최근 12개월 블로그 100건</x:v>
      </x:c>
      <x:c r="G404" s="17" t="str">
        <x:v>대전광역시 중구 대사동 197-15 1층 유씨네부엌</x:v>
      </x:c>
      <x:c r="H404" s="17" t="str">
        <x:v>대전광역시 중구 보문산공원로497번길 109 1층 유씨네부엌</x:v>
      </x:c>
      <x:c r="I404" s="18" t="e">
        <x:f>HYPERLINK("https://search.naver.com/search.naver?where=blog&amp;query=%EB%B3%B4%EB%AC%B8%EC%82%B0%EC%9C%A0%EC%94%A8%EB%84%A4%EB%B6%80%EC%97%8C%EC%83%A4%EB%B8%8C%EC%83%A4%EB%B8%8C+%EC%A4%91%EA%B5%AC","블로그 보기")</x:f>
        <x:v>HYPERLINK is not implemented. linkLocation=https://search.naver.com/search.naver?where=blog&amp;query=%EB%B3%B4%EB%AC%B8%EC%82%B0%EC%9C%A0%EC%94%A8%EB%84%A4%EB%B6%80%EC%97%8C%EC%83%A4%EB%B8%8C%EC%83%A4%EB%B8%8C+%EC%A4%91%EA%B5%AC, friendlyName=블로그 보기</x:v>
      </x:c>
      <x:c r="J404" s="18" t="e">
        <x:f>HYPERLINK("https://www.instagram.com/ussine.kitchen","업체 보기")</x:f>
        <x:v>HYPERLINK is not implemented. linkLocation=https://www.instagram.com/ussine.kitchen, friendlyName=업체 보기</x:v>
      </x:c>
      <x:c r="K404" s="18" t="str"/>
      <x:c r="L404" s="17" t="str"/>
      <x:c r="M404" s="20" t="n">
        <x:v>46223</x:v>
      </x:c>
      <x:c r="N404" s="21" t="n">
        <x:v>100</x:v>
      </x:c>
      <x:c r="O404" s="21" t="n">
        <x:v>95</x:v>
      </x:c>
      <x:c r="P404" s="21" t="n">
        <x:v>1262</x:v>
      </x:c>
      <x:c r="Q404" s="21" t="n">
        <x:v>5</x:v>
      </x:c>
      <x:c r="R404" s="21" t="n">
        <x:v>3</x:v>
      </x:c>
      <x:c r="S404" s="17" t="str">
        <x:v>보문산 맛집 | 보문산 일식 | 보문산 칼국수</x:v>
      </x:c>
      <x:c r="T404" s="22" t="n">
        <x:v>36.3090069</x:v>
      </x:c>
      <x:c r="U404" s="22" t="n">
        <x:v>127.4193456</x:v>
      </x:c>
    </x:row>
    <x:row r="405" ht="32" customHeight="1">
      <x:c r="A405" s="18" t="str">
        <x:v>pending</x:v>
      </x:c>
      <x:c r="B405" s="18" t="str">
        <x:v>중구</x:v>
      </x:c>
      <x:c r="C405" s="17" t="str">
        <x:v>옹심이메밀칼국수</x:v>
      </x:c>
      <x:c r="D405" s="17" t="str">
        <x:v>한식&gt;칼국수,만두</x:v>
      </x:c>
      <x:c r="E405" s="19" t="n">
        <x:v>71</x:v>
      </x:c>
      <x:c r="F405" s="17" t="str">
        <x:v>지역성: 칼국수; 최근 12개월 블로그 69건</x:v>
      </x:c>
      <x:c r="G405" s="17" t="str">
        <x:v>대전광역시 중구 대사동 121-2 1층</x:v>
      </x:c>
      <x:c r="H405" s="17" t="str">
        <x:v>대전광역시 중구 보문산공원로 543 1층</x:v>
      </x:c>
      <x:c r="I405" s="18" t="e">
        <x:f>HYPERLINK("https://search.naver.com/search.naver?where=blog&amp;query=%EC%98%B9%EC%8B%AC%EC%9D%B4%EB%A9%94%EB%B0%80%EC%B9%BC%EA%B5%AD%EC%88%98+%EC%A4%91%EA%B5%AC","블로그 보기")</x:f>
        <x:v>HYPERLINK is not implemented. linkLocation=https://search.naver.com/search.naver?where=blog&amp;query=%EC%98%B9%EC%8B%AC%EC%9D%B4%EB%A9%94%EB%B0%80%EC%B9%BC%EA%B5%AD%EC%88%98+%EC%A4%91%EA%B5%AC, friendlyName=블로그 보기</x:v>
      </x:c>
      <x:c r="J405" s="18" t="str"/>
      <x:c r="K405" s="18" t="str"/>
      <x:c r="L405" s="17" t="str"/>
      <x:c r="M405" s="20" t="n">
        <x:v>46182</x:v>
      </x:c>
      <x:c r="N405" s="21" t="n">
        <x:v>69</x:v>
      </x:c>
      <x:c r="O405" s="21" t="n">
        <x:v>98</x:v>
      </x:c>
      <x:c r="P405" s="21" t="n">
        <x:v>633</x:v>
      </x:c>
      <x:c r="Q405" s="21" t="n">
        <x:v>3</x:v>
      </x:c>
      <x:c r="R405" s="21" t="n">
        <x:v>2</x:v>
      </x:c>
      <x:c r="S405" s="17" t="str">
        <x:v>보문산 칼국수 | 보문산 한식</x:v>
      </x:c>
      <x:c r="T405" s="22" t="n">
        <x:v>36.3159988</x:v>
      </x:c>
      <x:c r="U405" s="22" t="n">
        <x:v>127.4254606</x:v>
      </x:c>
    </x:row>
    <x:row r="406" ht="32" customHeight="1">
      <x:c r="A406" s="18" t="str">
        <x:v>pending</x:v>
      </x:c>
      <x:c r="B406" s="18" t="str">
        <x:v>중구</x:v>
      </x:c>
      <x:c r="C406" s="17" t="str">
        <x:v>고기는야외빨</x:v>
      </x:c>
      <x:c r="D406" s="17" t="str">
        <x:v>음식점&gt;한식</x:v>
      </x:c>
      <x:c r="E406" s="19" t="n">
        <x:v>69</x:v>
      </x:c>
      <x:c r="F406" s="17" t="str">
        <x:v>최근 12개월 블로그 37건</x:v>
      </x:c>
      <x:c r="G406" s="17" t="str">
        <x:v>대전광역시 중구 대사동 210-5 고기는야외빨</x:v>
      </x:c>
      <x:c r="H406" s="17" t="str">
        <x:v>대전광역시 중구 보문산공원로 514 고기는야외빨</x:v>
      </x:c>
      <x:c r="I406" s="18" t="e">
        <x:f>HYPERLINK("https://search.naver.com/search.naver?where=blog&amp;query=%EA%B3%A0%EA%B8%B0%EB%8A%94%EC%95%BC%EC%99%B8%EB%B9%A8+%EC%A4%91%EA%B5%AC","블로그 보기")</x:f>
        <x:v>HYPERLINK is not implemented. linkLocation=https://search.naver.com/search.naver?where=blog&amp;query=%EA%B3%A0%EA%B8%B0%EB%8A%94%EC%95%BC%EC%99%B8%EB%B9%A8+%EC%A4%91%EA%B5%AC, friendlyName=블로그 보기</x:v>
      </x:c>
      <x:c r="J406" s="18" t="e">
        <x:f>HYPERLINK("https://www.instagram.com/bbq_g_y/","업체 보기")</x:f>
        <x:v>HYPERLINK is not implemented. linkLocation=https://www.instagram.com/bbq_g_y/, friendlyName=업체 보기</x:v>
      </x:c>
      <x:c r="K406" s="18" t="str"/>
      <x:c r="L406" s="17" t="str"/>
      <x:c r="M406" s="20" t="n">
        <x:v>46219</x:v>
      </x:c>
      <x:c r="N406" s="21" t="n">
        <x:v>37</x:v>
      </x:c>
      <x:c r="O406" s="21" t="n">
        <x:v>98</x:v>
      </x:c>
      <x:c r="P406" s="21" t="n">
        <x:v>238</x:v>
      </x:c>
      <x:c r="Q406" s="21" t="n">
        <x:v>4</x:v>
      </x:c>
      <x:c r="R406" s="21" t="n">
        <x:v>2</x:v>
      </x:c>
      <x:c r="S406" s="17" t="str">
        <x:v>보문산 고기 | 보문산 냉면</x:v>
      </x:c>
      <x:c r="T406" s="22" t="n">
        <x:v>36.3142153</x:v>
      </x:c>
      <x:c r="U406" s="22" t="n">
        <x:v>127.4236815</x:v>
      </x:c>
    </x:row>
    <x:row r="407" ht="32" customHeight="1">
      <x:c r="A407" s="18" t="str">
        <x:v>pending</x:v>
      </x:c>
      <x:c r="B407" s="18" t="str">
        <x:v>중구</x:v>
      </x:c>
      <x:c r="C407" s="17" t="str">
        <x:v>대동순대</x:v>
      </x:c>
      <x:c r="D407" s="17" t="str">
        <x:v>한식&gt;순대,순댓국</x:v>
      </x:c>
      <x:c r="E407" s="19" t="n">
        <x:v>69</x:v>
      </x:c>
      <x:c r="F407" s="17" t="str">
        <x:v>최근 12개월 블로그 100건</x:v>
      </x:c>
      <x:c r="G407" s="17" t="str">
        <x:v>대전광역시 중구 문화동 284-53</x:v>
      </x:c>
      <x:c r="H407" s="17" t="str">
        <x:v>대전광역시 중구 서문로43번길 70</x:v>
      </x:c>
      <x:c r="I407" s="18" t="e">
        <x:f>HYPERLINK("https://search.naver.com/search.naver?where=blog&amp;query=%EB%8C%80%EB%8F%99%EC%88%9C%EB%8C%80+%EC%A4%91%EA%B5%AC","블로그 보기")</x:f>
        <x:v>HYPERLINK is not implemented. linkLocation=https://search.naver.com/search.naver?where=blog&amp;query=%EB%8C%80%EB%8F%99%EC%88%9C%EB%8C%80+%EC%A4%91%EA%B5%AC, friendlyName=블로그 보기</x:v>
      </x:c>
      <x:c r="J407" s="18" t="str"/>
      <x:c r="K407" s="18" t="str"/>
      <x:c r="L407" s="17" t="str"/>
      <x:c r="M407" s="20" t="n">
        <x:v>46222</x:v>
      </x:c>
      <x:c r="N407" s="21" t="n">
        <x:v>100</x:v>
      </x:c>
      <x:c r="O407" s="21" t="n">
        <x:v>98</x:v>
      </x:c>
      <x:c r="P407" s="21" t="n">
        <x:v>978</x:v>
      </x:c>
      <x:c r="Q407" s="21" t="n">
        <x:v>3</x:v>
      </x:c>
      <x:c r="R407" s="21" t="n">
        <x:v>3</x:v>
      </x:c>
      <x:c r="S407" s="17" t="str">
        <x:v>보문산 고기 | 보문산 국밥 | 보문산 두부두루치기</x:v>
      </x:c>
      <x:c r="T407" s="22" t="n">
        <x:v>36.3138032</x:v>
      </x:c>
      <x:c r="U407" s="22" t="n">
        <x:v>127.4048901</x:v>
      </x:c>
    </x:row>
    <x:row r="408" ht="32" customHeight="1">
      <x:c r="A408" s="18" t="str">
        <x:v>pending</x:v>
      </x:c>
      <x:c r="B408" s="18" t="str">
        <x:v>중구</x:v>
      </x:c>
      <x:c r="C408" s="17" t="str">
        <x:v>봉스김밥 대전본점</x:v>
      </x:c>
      <x:c r="D408" s="17" t="str">
        <x:v>분식&gt;김밥</x:v>
      </x:c>
      <x:c r="E408" s="19" t="n">
        <x:v>67</x:v>
      </x:c>
      <x:c r="F408" s="17" t="str">
        <x:v>지역성: 본점, 대전; 최근 12개월 블로그 100건</x:v>
      </x:c>
      <x:c r="G408" s="17" t="str">
        <x:v>대전광역시 중구 문화동 480-2</x:v>
      </x:c>
      <x:c r="H408" s="17" t="str">
        <x:v>대전광역시 중구 천근로46번길 10</x:v>
      </x:c>
      <x:c r="I408" s="18" t="e">
        <x:f>HYPERLINK("https://search.naver.com/search.naver?where=blog&amp;query=%EB%B4%89%EC%8A%A4%EA%B9%80%EB%B0%A5+%EB%8C%80%EC%A0%84%EB%B3%B8%EC%A0%90+%EC%A4%91%EA%B5%AC","블로그 보기")</x:f>
        <x:v>HYPERLINK is not implemented. linkLocation=https://search.naver.com/search.naver?where=blog&amp;query=%EB%B4%89%EC%8A%A4%EA%B9%80%EB%B0%A5+%EB%8C%80%EC%A0%84%EB%B3%B8%EC%A0%90+%EC%A4%91%EA%B5%AC, friendlyName=블로그 보기</x:v>
      </x:c>
      <x:c r="J408" s="18" t="str"/>
      <x:c r="K408" s="18" t="str"/>
      <x:c r="L408" s="17" t="str"/>
      <x:c r="M408" s="20" t="n">
        <x:v>46223</x:v>
      </x:c>
      <x:c r="N408" s="21" t="n">
        <x:v>100</x:v>
      </x:c>
      <x:c r="O408" s="21" t="n">
        <x:v>95</x:v>
      </x:c>
      <x:c r="P408" s="21" t="n">
        <x:v>2351</x:v>
      </x:c>
      <x:c r="Q408" s="21" t="n">
        <x:v>1</x:v>
      </x:c>
      <x:c r="R408" s="21" t="n">
        <x:v>1</x:v>
      </x:c>
      <x:c r="S408" s="17" t="str">
        <x:v>보문산 분식</x:v>
      </x:c>
      <x:c r="T408" s="22" t="n">
        <x:v>36.3091052</x:v>
      </x:c>
      <x:c r="U408" s="22" t="n">
        <x:v>127.4048497</x:v>
      </x:c>
    </x:row>
    <x:row r="409" ht="32" customHeight="1">
      <x:c r="A409" s="18" t="str">
        <x:v>pending</x:v>
      </x:c>
      <x:c r="B409" s="18" t="str">
        <x:v>중구</x:v>
      </x:c>
      <x:c r="C409" s="17" t="str">
        <x:v>홍두깨칼국수</x:v>
      </x:c>
      <x:c r="D409" s="17" t="str">
        <x:v>한식&gt;칼국수,만두</x:v>
      </x:c>
      <x:c r="E409" s="19" t="n">
        <x:v>67</x:v>
      </x:c>
      <x:c r="F409" s="17" t="str">
        <x:v>지역성: 칼국수; 최근 12개월 블로그 98건</x:v>
      </x:c>
      <x:c r="G409" s="17" t="str">
        <x:v>대전광역시 중구 석교동 10-17</x:v>
      </x:c>
      <x:c r="H409" s="17" t="str">
        <x:v>대전광역시 중구 대종로 258</x:v>
      </x:c>
      <x:c r="I409" s="18" t="e">
        <x:f>HYPERLINK("https://search.naver.com/search.naver?where=blog&amp;query=%ED%99%8D%EB%91%90%EA%B9%A8%EC%B9%BC%EA%B5%AD%EC%88%98+%EC%A4%91%EA%B5%AC","블로그 보기")</x:f>
        <x:v>HYPERLINK is not implemented. linkLocation=https://search.naver.com/search.naver?where=blog&amp;query=%ED%99%8D%EB%91%90%EA%B9%A8%EC%B9%BC%EA%B5%AD%EC%88%98+%EC%A4%91%EA%B5%AC, friendlyName=블로그 보기</x:v>
      </x:c>
      <x:c r="J409" s="18" t="str"/>
      <x:c r="K409" s="18" t="str"/>
      <x:c r="L409" s="17" t="str"/>
      <x:c r="M409" s="20" t="n">
        <x:v>46223</x:v>
      </x:c>
      <x:c r="N409" s="21" t="n">
        <x:v>98</x:v>
      </x:c>
      <x:c r="O409" s="21" t="n">
        <x:v>96</x:v>
      </x:c>
      <x:c r="P409" s="21" t="n">
        <x:v>662</x:v>
      </x:c>
      <x:c r="Q409" s="21" t="n">
        <x:v>2</x:v>
      </x:c>
      <x:c r="R409" s="21" t="n">
        <x:v>2</x:v>
      </x:c>
      <x:c r="S409" s="17" t="str">
        <x:v>보문산 두부두루치기 | 보문산 칼국수</x:v>
      </x:c>
      <x:c r="T409" s="22" t="n">
        <x:v>36.3110428</x:v>
      </x:c>
      <x:c r="U409" s="22" t="n">
        <x:v>127.4396446</x:v>
      </x:c>
    </x:row>
    <x:row r="410" ht="32" customHeight="1">
      <x:c r="A410" s="18" t="str">
        <x:v>pending</x:v>
      </x:c>
      <x:c r="B410" s="18" t="str">
        <x:v>중구</x:v>
      </x:c>
      <x:c r="C410" s="17" t="str">
        <x:v>만수민물장어</x:v>
      </x:c>
      <x:c r="D410" s="17" t="str">
        <x:v>한식&gt;장어,먹장어요리</x:v>
      </x:c>
      <x:c r="E410" s="19" t="n">
        <x:v>66</x:v>
      </x:c>
      <x:c r="F410" s="17" t="str">
        <x:v>최근 12개월 블로그 55건</x:v>
      </x:c>
      <x:c r="G410" s="17" t="str">
        <x:v>대전광역시 중구 문화동 27-5 3층 만수민물장어</x:v>
      </x:c>
      <x:c r="H410" s="17" t="str">
        <x:v>대전광역시 중구 보문산로 331 3층 만수민물장어</x:v>
      </x:c>
      <x:c r="I410" s="18" t="e">
        <x:f>HYPERLINK("https://search.naver.com/search.naver?where=blog&amp;query=%EB%A7%8C%EC%88%98%EB%AF%BC%EB%AC%BC%EC%9E%A5%EC%96%B4+%EC%A4%91%EA%B5%AC","블로그 보기")</x:f>
        <x:v>HYPERLINK is not implemented. linkLocation=https://search.naver.com/search.naver?where=blog&amp;query=%EB%A7%8C%EC%88%98%EB%AF%BC%EB%AC%BC%EC%9E%A5%EC%96%B4+%EC%A4%91%EA%B5%AC, friendlyName=블로그 보기</x:v>
      </x:c>
      <x:c r="J410" s="18" t="e">
        <x:f>HYPERLINK("https://blog.naver.com/jae1soosan","업체 보기")</x:f>
        <x:v>HYPERLINK is not implemented. linkLocation=https://blog.naver.com/jae1soosan, friendlyName=업체 보기</x:v>
      </x:c>
      <x:c r="K410" s="18" t="str"/>
      <x:c r="L410" s="17" t="str"/>
      <x:c r="M410" s="20" t="n">
        <x:v>46185</x:v>
      </x:c>
      <x:c r="N410" s="21" t="n">
        <x:v>55</x:v>
      </x:c>
      <x:c r="O410" s="21" t="n">
        <x:v>94</x:v>
      </x:c>
      <x:c r="P410" s="21" t="n">
        <x:v>363</x:v>
      </x:c>
      <x:c r="Q410" s="21" t="n">
        <x:v>4</x:v>
      </x:c>
      <x:c r="R410" s="21" t="n">
        <x:v>1</x:v>
      </x:c>
      <x:c r="S410" s="17" t="str">
        <x:v>보문산 맛집 | 보문산 한식 | 보문산 해산물</x:v>
      </x:c>
      <x:c r="T410" s="22" t="n">
        <x:v>36.3126706</x:v>
      </x:c>
      <x:c r="U410" s="22" t="n">
        <x:v>127.4133954</x:v>
      </x:c>
    </x:row>
    <x:row r="411" ht="32" customHeight="1">
      <x:c r="A411" s="18" t="str">
        <x:v>pending</x:v>
      </x:c>
      <x:c r="B411" s="18" t="str">
        <x:v>중구</x:v>
      </x:c>
      <x:c r="C411" s="17" t="str">
        <x:v>복수분식 본점</x:v>
      </x:c>
      <x:c r="D411" s="17" t="str">
        <x:v>분식&gt;종합분식</x:v>
      </x:c>
      <x:c r="E411" s="19" t="n">
        <x:v>65</x:v>
      </x:c>
      <x:c r="F411" s="17" t="str">
        <x:v>지역성: 본점; 최근 12개월 블로그 100건</x:v>
      </x:c>
      <x:c r="G411" s="17" t="str">
        <x:v>대전광역시 중구 대사동 77-45 현대주택 1층 복수분식본점</x:v>
      </x:c>
      <x:c r="H411" s="17" t="str">
        <x:v>대전광역시 중구 충무로 95 현대주택 1층 복수분식본점</x:v>
      </x:c>
      <x:c r="I411" s="18" t="e">
        <x:f>HYPERLINK("https://search.naver.com/search.naver?where=blog&amp;query=%EB%B3%B5%EC%88%98%EB%B6%84%EC%8B%9D+%EB%B3%B8%EC%A0%90+%EC%A4%91%EA%B5%AC","블로그 보기")</x:f>
        <x:v>HYPERLINK is not implemented. linkLocation=https://search.naver.com/search.naver?where=blog&amp;query=%EB%B3%B5%EC%88%98%EB%B6%84%EC%8B%9D+%EB%B3%B8%EC%A0%90+%EC%A4%91%EA%B5%AC, friendlyName=블로그 보기</x:v>
      </x:c>
      <x:c r="J411" s="18" t="str"/>
      <x:c r="K411" s="18" t="str"/>
      <x:c r="L411" s="17" t="str"/>
      <x:c r="M411" s="20" t="n">
        <x:v>46221</x:v>
      </x:c>
      <x:c r="N411" s="21" t="n">
        <x:v>100</x:v>
      </x:c>
      <x:c r="O411" s="21" t="n">
        <x:v>100</x:v>
      </x:c>
      <x:c r="P411" s="21" t="n">
        <x:v>619</x:v>
      </x:c>
      <x:c r="Q411" s="21" t="n">
        <x:v>3</x:v>
      </x:c>
      <x:c r="R411" s="21" t="n">
        <x:v>0</x:v>
      </x:c>
      <x:c r="S411" s="17" t="str">
        <x:v>보문산 두부두루치기 | 보문산 분식 | 보문산 칼국수</x:v>
      </x:c>
      <x:c r="T411" s="22" t="n">
        <x:v>36.3180492</x:v>
      </x:c>
      <x:c r="U411" s="22" t="n">
        <x:v>127.427532</x:v>
      </x:c>
    </x:row>
    <x:row r="412" ht="32" customHeight="1">
      <x:c r="A412" s="18" t="str">
        <x:v>pending</x:v>
      </x:c>
      <x:c r="B412" s="18" t="str">
        <x:v>중구</x:v>
      </x:c>
      <x:c r="C412" s="17" t="str">
        <x:v>착한낙지 대전보문산점</x:v>
      </x:c>
      <x:c r="D412" s="17" t="str">
        <x:v>한식&gt;낙지요리</x:v>
      </x:c>
      <x:c r="E412" s="19" t="n">
        <x:v>65</x:v>
      </x:c>
      <x:c r="F412" s="17" t="str">
        <x:v>지역성: 대전; 최근 12개월 블로그 42건</x:v>
      </x:c>
      <x:c r="G412" s="17" t="str">
        <x:v>대전광역시 중구 부사동 99-1 1층 착한낙지</x:v>
      </x:c>
      <x:c r="H412" s="17" t="str">
        <x:v>대전광역시 중구 대종로 331 1층 착한낙지</x:v>
      </x:c>
      <x:c r="I412" s="18" t="e">
        <x:f>HYPERLINK("https://search.naver.com/search.naver?where=blog&amp;query=%EC%B0%A9%ED%95%9C%EB%82%99%EC%A7%80+%EB%8C%80%EC%A0%84%EB%B3%B4%EB%AC%B8%EC%82%B0%EC%A0%90+%EC%A4%91%EA%B5%AC","블로그 보기")</x:f>
        <x:v>HYPERLINK is not implemented. linkLocation=https://search.naver.com/search.naver?where=blog&amp;query=%EC%B0%A9%ED%95%9C%EB%82%99%EC%A7%80+%EB%8C%80%EC%A0%84%EB%B3%B4%EB%AC%B8%EC%82%B0%EC%A0%90+%EC%A4%91%EA%B5%AC, friendlyName=블로그 보기</x:v>
      </x:c>
      <x:c r="J412" s="18" t="str"/>
      <x:c r="K412" s="18" t="str"/>
      <x:c r="L412" s="17" t="str"/>
      <x:c r="M412" s="20" t="n">
        <x:v>46197</x:v>
      </x:c>
      <x:c r="N412" s="21" t="n">
        <x:v>42</x:v>
      </x:c>
      <x:c r="O412" s="21" t="n">
        <x:v>99</x:v>
      </x:c>
      <x:c r="P412" s="21" t="n">
        <x:v>121</x:v>
      </x:c>
      <x:c r="Q412" s="21" t="n">
        <x:v>2</x:v>
      </x:c>
      <x:c r="R412" s="21" t="n">
        <x:v>2</x:v>
      </x:c>
      <x:c r="S412" s="17" t="str">
        <x:v>보문산 한식 | 보문산 해산물</x:v>
      </x:c>
      <x:c r="T412" s="22" t="n">
        <x:v>36.3152038</x:v>
      </x:c>
      <x:c r="U412" s="22" t="n">
        <x:v>127.433322</x:v>
      </x:c>
    </x:row>
    <x:row r="413" ht="32" customHeight="1">
      <x:c r="A413" s="18" t="str">
        <x:v>pending</x:v>
      </x:c>
      <x:c r="B413" s="18" t="str">
        <x:v>중구</x:v>
      </x:c>
      <x:c r="C413" s="17" t="str">
        <x:v>정직한하누</x:v>
      </x:c>
      <x:c r="D413" s="17" t="str">
        <x:v>한식&gt;소고기구이</x:v>
      </x:c>
      <x:c r="E413" s="19" t="n">
        <x:v>64</x:v>
      </x:c>
      <x:c r="F413" s="17" t="str">
        <x:v>최근 12개월 블로그 31건</x:v>
      </x:c>
      <x:c r="G413" s="17" t="str">
        <x:v>대전광역시 중구 부사동 129-8 2층/3층(room)</x:v>
      </x:c>
      <x:c r="H413" s="17" t="str">
        <x:v>대전광역시 중구 대종로 311 2층/3층(room)</x:v>
      </x:c>
      <x:c r="I413" s="18" t="e">
        <x:f>HYPERLINK("https://search.naver.com/search.naver?where=blog&amp;query=%EC%A0%95%EC%A7%81%ED%95%9C%ED%95%98%EB%88%84+%EC%A4%91%EA%B5%AC","블로그 보기")</x:f>
        <x:v>HYPERLINK is not implemented. linkLocation=https://search.naver.com/search.naver?where=blog&amp;query=%EC%A0%95%EC%A7%81%ED%95%9C%ED%95%98%EB%88%84+%EC%A4%91%EA%B5%AC, friendlyName=블로그 보기</x:v>
      </x:c>
      <x:c r="J413" s="18" t="str"/>
      <x:c r="K413" s="18" t="str"/>
      <x:c r="L413" s="17" t="str"/>
      <x:c r="M413" s="20" t="n">
        <x:v>46215</x:v>
      </x:c>
      <x:c r="N413" s="21" t="n">
        <x:v>31</x:v>
      </x:c>
      <x:c r="O413" s="21" t="n">
        <x:v>79</x:v>
      </x:c>
      <x:c r="P413" s="21" t="n">
        <x:v>162</x:v>
      </x:c>
      <x:c r="Q413" s="21" t="n">
        <x:v>3</x:v>
      </x:c>
      <x:c r="R413" s="21" t="n">
        <x:v>2</x:v>
      </x:c>
      <x:c r="S413" s="17" t="str">
        <x:v>보문산 국밥 | 보문산 냉면</x:v>
      </x:c>
      <x:c r="T413" s="22" t="n">
        <x:v>36.3134989</x:v>
      </x:c>
      <x:c r="U413" s="22" t="n">
        <x:v>127.4343497</x:v>
      </x:c>
    </x:row>
    <x:row r="414" ht="32" customHeight="1">
      <x:c r="A414" s="18" t="str">
        <x:v>pending</x:v>
      </x:c>
      <x:c r="B414" s="18" t="str">
        <x:v>중구</x:v>
      </x:c>
      <x:c r="C414" s="17" t="str">
        <x:v>보문산본가누룽지삼계탕</x:v>
      </x:c>
      <x:c r="D414" s="17" t="str">
        <x:v>한식&gt;백숙,삼계탕</x:v>
      </x:c>
      <x:c r="E414" s="19" t="n">
        <x:v>63</x:v>
      </x:c>
      <x:c r="F414" s="17" t="str">
        <x:v>최근 12개월 블로그 100건</x:v>
      </x:c>
      <x:c r="G414" s="17" t="str">
        <x:v>대전광역시 중구 대사동 142-2 1층</x:v>
      </x:c>
      <x:c r="H414" s="17" t="str">
        <x:v>대전광역시 중구 보문산공원로 527-4 1층</x:v>
      </x:c>
      <x:c r="I414" s="18" t="e">
        <x:f>HYPERLINK("https://search.naver.com/search.naver?where=blog&amp;query=%EB%B3%B4%EB%AC%B8%EC%82%B0%EB%B3%B8%EA%B0%80%EB%88%84%EB%A3%BD%EC%A7%80%EC%82%BC%EA%B3%84%ED%83%95+%EC%A4%91%EA%B5%AC","블로그 보기")</x:f>
        <x:v>HYPERLINK is not implemented. linkLocation=https://search.naver.com/search.naver?where=blog&amp;query=%EB%B3%B4%EB%AC%B8%EC%82%B0%EB%B3%B8%EA%B0%80%EB%88%84%EB%A3%BD%EC%A7%80%EC%82%BC%EA%B3%84%ED%83%95+%EC%A4%91%EA%B5%AC, friendlyName=블로그 보기</x:v>
      </x:c>
      <x:c r="J414" s="18" t="e">
        <x:f>HYPERLINK("http://instagram.com/bomunsan_bonga","업체 보기")</x:f>
        <x:v>HYPERLINK is not implemented. linkLocation=http://instagram.com/bomunsan_bonga, friendlyName=업체 보기</x:v>
      </x:c>
      <x:c r="K414" s="18" t="str"/>
      <x:c r="L414" s="17" t="str"/>
      <x:c r="M414" s="20" t="n">
        <x:v>46223</x:v>
      </x:c>
      <x:c r="N414" s="21" t="n">
        <x:v>100</x:v>
      </x:c>
      <x:c r="O414" s="21" t="n">
        <x:v>93</x:v>
      </x:c>
      <x:c r="P414" s="21" t="n">
        <x:v>553</x:v>
      </x:c>
      <x:c r="Q414" s="21" t="n">
        <x:v>3</x:v>
      </x:c>
      <x:c r="R414" s="21" t="n">
        <x:v>1</x:v>
      </x:c>
      <x:c r="S414" s="17" t="str">
        <x:v>보문산 삼계탕 | 보문산 한식</x:v>
      </x:c>
      <x:c r="T414" s="22" t="n">
        <x:v>36.3152663</x:v>
      </x:c>
      <x:c r="U414" s="22" t="n">
        <x:v>127.4242924</x:v>
      </x:c>
    </x:row>
    <x:row r="415" ht="32" customHeight="1">
      <x:c r="A415" s="18" t="str">
        <x:v>pending</x:v>
      </x:c>
      <x:c r="B415" s="18" t="str">
        <x:v>중구</x:v>
      </x:c>
      <x:c r="C415" s="17" t="str">
        <x:v>샤브마니아 대전보문산점</x:v>
      </x:c>
      <x:c r="D415" s="17" t="str">
        <x:v>음식점&gt;일식&gt;샤브샤브</x:v>
      </x:c>
      <x:c r="E415" s="19" t="n">
        <x:v>63</x:v>
      </x:c>
      <x:c r="F415" s="17" t="str">
        <x:v>지역성: 대전; 최근 12개월 블로그 100건</x:v>
      </x:c>
      <x:c r="G415" s="17" t="str">
        <x:v>대전광역시 중구 대사동 200-5 2층</x:v>
      </x:c>
      <x:c r="H415" s="17" t="str">
        <x:v>대전광역시 중구 보문산공원로497번길 26 2층</x:v>
      </x:c>
      <x:c r="I415" s="18" t="e">
        <x:f>HYPERLINK("https://search.naver.com/search.naver?where=blog&amp;query=%EC%83%A4%EB%B8%8C%EB%A7%88%EB%8B%88%EC%95%84+%EB%8C%80%EC%A0%84%EB%B3%B4%EB%AC%B8%EC%82%B0%EC%A0%90+%EC%A4%91%EA%B5%AC","블로그 보기")</x:f>
        <x:v>HYPERLINK is not implemented. linkLocation=https://search.naver.com/search.naver?where=blog&amp;query=%EC%83%A4%EB%B8%8C%EB%A7%88%EB%8B%88%EC%95%84+%EB%8C%80%EC%A0%84%EB%B3%B4%EB%AC%B8%EC%82%B0%EC%A0%90+%EC%A4%91%EA%B5%AC, friendlyName=블로그 보기</x:v>
      </x:c>
      <x:c r="J415" s="18" t="str"/>
      <x:c r="K415" s="18" t="str"/>
      <x:c r="L415" s="17" t="str"/>
      <x:c r="M415" s="20" t="n">
        <x:v>46220</x:v>
      </x:c>
      <x:c r="N415" s="21" t="n">
        <x:v>100</x:v>
      </x:c>
      <x:c r="O415" s="21" t="n">
        <x:v>99</x:v>
      </x:c>
      <x:c r="P415" s="21" t="n">
        <x:v>431</x:v>
      </x:c>
      <x:c r="Q415" s="21" t="n">
        <x:v>2</x:v>
      </x:c>
      <x:c r="R415" s="21" t="n">
        <x:v>1</x:v>
      </x:c>
      <x:c r="S415" s="17" t="str">
        <x:v>보문산 일식</x:v>
      </x:c>
      <x:c r="T415" s="22" t="n">
        <x:v>36.3127132</x:v>
      </x:c>
      <x:c r="U415" s="22" t="n">
        <x:v>127.4207679</x:v>
      </x:c>
    </x:row>
    <x:row r="416" ht="32" customHeight="1">
      <x:c r="A416" s="18" t="str">
        <x:v>pending</x:v>
      </x:c>
      <x:c r="B416" s="18" t="str">
        <x:v>중구</x:v>
      </x:c>
      <x:c r="C416" s="17" t="str">
        <x:v>진짜배기명태촌 보문산점</x:v>
      </x:c>
      <x:c r="D416" s="17" t="str">
        <x:v>한식&gt;해물,생선요리</x:v>
      </x:c>
      <x:c r="E416" s="19" t="n">
        <x:v>63</x:v>
      </x:c>
      <x:c r="F416" s="17" t="str">
        <x:v>최근 12개월 블로그 10건</x:v>
      </x:c>
      <x:c r="G416" s="17" t="str">
        <x:v>대전광역시 중구 대사동 200-4 1층</x:v>
      </x:c>
      <x:c r="H416" s="17" t="str">
        <x:v>대전광역시 중구 보문산공원로497번길 16 1층</x:v>
      </x:c>
      <x:c r="I416" s="18" t="e">
        <x:f>HYPERLINK("https://search.naver.com/search.naver?where=blog&amp;query=%EC%A7%84%EC%A7%9C%EB%B0%B0%EA%B8%B0%EB%AA%85%ED%83%9C%EC%B4%8C+%EB%B3%B4%EB%AC%B8%EC%82%B0%EC%A0%90+%EC%A4%91%EA%B5%AC","블로그 보기")</x:f>
        <x:v>HYPERLINK is not implemented. linkLocation=https://search.naver.com/search.naver?where=blog&amp;query=%EC%A7%84%EC%A7%9C%EB%B0%B0%EA%B8%B0%EB%AA%85%ED%83%9C%EC%B4%8C+%EB%B3%B4%EB%AC%B8%EC%82%B0%EC%A0%90+%EC%A4%91%EA%B5%AC, friendlyName=블로그 보기</x:v>
      </x:c>
      <x:c r="J416" s="18" t="str"/>
      <x:c r="K416" s="18" t="str"/>
      <x:c r="L416" s="17" t="str"/>
      <x:c r="M416" s="20" t="n">
        <x:v>46189</x:v>
      </x:c>
      <x:c r="N416" s="21" t="n">
        <x:v>10</x:v>
      </x:c>
      <x:c r="O416" s="21" t="n">
        <x:v>30</x:v>
      </x:c>
      <x:c r="P416" s="21" t="n">
        <x:v>30</x:v>
      </x:c>
      <x:c r="Q416" s="21" t="n">
        <x:v>4</x:v>
      </x:c>
      <x:c r="R416" s="21" t="n">
        <x:v>1</x:v>
      </x:c>
      <x:c r="S416" s="17" t="str">
        <x:v>보문산 맛집 | 보문산 한식 | 보문산 해산물</x:v>
      </x:c>
      <x:c r="T416" s="22" t="n">
        <x:v>36.3129451</x:v>
      </x:c>
      <x:c r="U416" s="22" t="n">
        <x:v>127.4209733</x:v>
      </x:c>
    </x:row>
    <x:row r="417" ht="32" customHeight="1">
      <x:c r="A417" s="18" t="str">
        <x:v>pending</x:v>
      </x:c>
      <x:c r="B417" s="18" t="str">
        <x:v>중구</x:v>
      </x:c>
      <x:c r="C417" s="17" t="str">
        <x:v>유성순대</x:v>
      </x:c>
      <x:c r="D417" s="17" t="str">
        <x:v>한식&gt;순대,순댓국</x:v>
      </x:c>
      <x:c r="E417" s="19" t="n">
        <x:v>62</x:v>
      </x:c>
      <x:c r="F417" s="17" t="str">
        <x:v>최근 12개월 블로그 100건</x:v>
      </x:c>
      <x:c r="G417" s="17" t="str">
        <x:v>대전광역시 중구 석교동 57-12</x:v>
      </x:c>
      <x:c r="H417" s="17" t="str">
        <x:v>대전광역시 중구 대전천서로 211</x:v>
      </x:c>
      <x:c r="I417" s="18" t="e">
        <x:f>HYPERLINK("https://search.naver.com/search.naver?where=blog&amp;query=%EC%9C%A0%EC%84%B1%EC%88%9C%EB%8C%80+%EC%A4%91%EA%B5%AC","블로그 보기")</x:f>
        <x:v>HYPERLINK is not implemented. linkLocation=https://search.naver.com/search.naver?where=blog&amp;query=%EC%9C%A0%EC%84%B1%EC%88%9C%EB%8C%80+%EC%A4%91%EA%B5%AC, friendlyName=블로그 보기</x:v>
      </x:c>
      <x:c r="J417" s="18" t="str"/>
      <x:c r="K417" s="18" t="str"/>
      <x:c r="L417" s="17" t="str"/>
      <x:c r="M417" s="20" t="n">
        <x:v>46223</x:v>
      </x:c>
      <x:c r="N417" s="21" t="n">
        <x:v>100</x:v>
      </x:c>
      <x:c r="O417" s="21" t="n">
        <x:v>90</x:v>
      </x:c>
      <x:c r="P417" s="21" t="n">
        <x:v>933</x:v>
      </x:c>
      <x:c r="Q417" s="21" t="n">
        <x:v>2</x:v>
      </x:c>
      <x:c r="R417" s="21" t="n">
        <x:v>2</x:v>
      </x:c>
      <x:c r="S417" s="17" t="str">
        <x:v>보문산 고기 | 보문산 국밥</x:v>
      </x:c>
      <x:c r="T417" s="22" t="n">
        <x:v>36.3107127</x:v>
      </x:c>
      <x:c r="U417" s="22" t="n">
        <x:v>127.4425426</x:v>
      </x:c>
    </x:row>
    <x:row r="418" ht="32" customHeight="1">
      <x:c r="A418" s="18" t="str">
        <x:v>pending</x:v>
      </x:c>
      <x:c r="B418" s="18" t="str">
        <x:v>중구</x:v>
      </x:c>
      <x:c r="C418" s="17" t="str">
        <x:v>짬뽕짬뽕 본점</x:v>
      </x:c>
      <x:c r="D418" s="17" t="str">
        <x:v>중식&gt;중식당</x:v>
      </x:c>
      <x:c r="E418" s="19" t="n">
        <x:v>62</x:v>
      </x:c>
      <x:c r="F418" s="17" t="str">
        <x:v>지역성: 본점; 최근 12개월 블로그 100건</x:v>
      </x:c>
      <x:c r="G418" s="17" t="str">
        <x:v>대전광역시 중구 문화동 374-17 짬뽕짬뽕</x:v>
      </x:c>
      <x:c r="H418" s="17" t="str">
        <x:v>대전광역시 중구 서문로43번길 80 짬뽕짬뽕</x:v>
      </x:c>
      <x:c r="I418" s="18" t="e">
        <x:f>HYPERLINK("https://search.naver.com/search.naver?where=blog&amp;query=%EC%A7%AC%EB%BD%95%EC%A7%AC%EB%BD%95+%EB%B3%B8%EC%A0%90+%EC%A4%91%EA%B5%AC","블로그 보기")</x:f>
        <x:v>HYPERLINK is not implemented. linkLocation=https://search.naver.com/search.naver?where=blog&amp;query=%EC%A7%AC%EB%BD%95%EC%A7%AC%EB%BD%95+%EB%B3%B8%EC%A0%90+%EC%A4%91%EA%B5%AC, friendlyName=블로그 보기</x:v>
      </x:c>
      <x:c r="J418" s="18" t="str"/>
      <x:c r="K418" s="18" t="str"/>
      <x:c r="L418" s="17" t="str"/>
      <x:c r="M418" s="20" t="n">
        <x:v>46223</x:v>
      </x:c>
      <x:c r="N418" s="21" t="n">
        <x:v>100</x:v>
      </x:c>
      <x:c r="O418" s="21" t="n">
        <x:v>100</x:v>
      </x:c>
      <x:c r="P418" s="21" t="n">
        <x:v>10637</x:v>
      </x:c>
      <x:c r="Q418" s="21" t="n">
        <x:v>1</x:v>
      </x:c>
      <x:c r="R418" s="21" t="n">
        <x:v>1</x:v>
      </x:c>
      <x:c r="S418" s="17" t="str">
        <x:v>보문산 중식</x:v>
      </x:c>
      <x:c r="T418" s="22" t="n">
        <x:v>36.3139686</x:v>
      </x:c>
      <x:c r="U418" s="22" t="n">
        <x:v>127.4044063</x:v>
      </x:c>
    </x:row>
    <x:row r="419" ht="32" customHeight="1">
      <x:c r="A419" s="18" t="str">
        <x:v>pending</x:v>
      </x:c>
      <x:c r="B419" s="18" t="str">
        <x:v>중구</x:v>
      </x:c>
      <x:c r="C419" s="17" t="str">
        <x:v>꼭대기집</x:v>
      </x:c>
      <x:c r="D419" s="17" t="str">
        <x:v>한식&gt;백숙,삼계탕</x:v>
      </x:c>
      <x:c r="E419" s="19" t="n">
        <x:v>61</x:v>
      </x:c>
      <x:c r="F419" s="17" t="str">
        <x:v>최근 12개월 블로그 100건</x:v>
      </x:c>
      <x:c r="G419" s="17" t="str">
        <x:v>대전광역시 중구 대사동 산1-27</x:v>
      </x:c>
      <x:c r="H419" s="17" t="str">
        <x:v>대전광역시 중구 보문산공원로530번길 12-28</x:v>
      </x:c>
      <x:c r="I419" s="18" t="e">
        <x:f>HYPERLINK("https://search.naver.com/search.naver?where=blog&amp;query=%EA%BC%AD%EB%8C%80%EA%B8%B0%EC%A7%91+%EC%A4%91%EA%B5%AC","블로그 보기")</x:f>
        <x:v>HYPERLINK is not implemented. linkLocation=https://search.naver.com/search.naver?where=blog&amp;query=%EA%BC%AD%EB%8C%80%EA%B8%B0%EC%A7%91+%EC%A4%91%EA%B5%AC, friendlyName=블로그 보기</x:v>
      </x:c>
      <x:c r="J419" s="18" t="str"/>
      <x:c r="K419" s="18" t="str"/>
      <x:c r="L419" s="17" t="str"/>
      <x:c r="M419" s="20" t="n">
        <x:v>46222</x:v>
      </x:c>
      <x:c r="N419" s="21" t="n">
        <x:v>100</x:v>
      </x:c>
      <x:c r="O419" s="21" t="n">
        <x:v>98</x:v>
      </x:c>
      <x:c r="P419" s="21" t="n">
        <x:v>6519</x:v>
      </x:c>
      <x:c r="Q419" s="21" t="n">
        <x:v>2</x:v>
      </x:c>
      <x:c r="R419" s="21" t="n">
        <x:v>1</x:v>
      </x:c>
      <x:c r="S419" s="17" t="str">
        <x:v>보문산 삼계탕</x:v>
      </x:c>
      <x:c r="T419" s="22" t="n">
        <x:v>36.3133801</x:v>
      </x:c>
      <x:c r="U419" s="22" t="n">
        <x:v>127.4254493</x:v>
      </x:c>
    </x:row>
    <x:row r="420" ht="32" customHeight="1">
      <x:c r="A420" s="18" t="str">
        <x:v>pending</x:v>
      </x:c>
      <x:c r="B420" s="18" t="str">
        <x:v>중구</x:v>
      </x:c>
      <x:c r="C420" s="17" t="str">
        <x:v>유가옥설렁탕</x:v>
      </x:c>
      <x:c r="D420" s="17" t="str">
        <x:v>한식&gt;곰탕,설렁탕</x:v>
      </x:c>
      <x:c r="E420" s="19" t="n">
        <x:v>60</x:v>
      </x:c>
      <x:c r="F420" s="17" t="str">
        <x:v>최근 12개월 블로그 63건</x:v>
      </x:c>
      <x:c r="G420" s="17" t="str">
        <x:v>대전광역시 중구 부사동 128-1</x:v>
      </x:c>
      <x:c r="H420" s="17" t="str">
        <x:v>대전광역시 중구 대종로 323</x:v>
      </x:c>
      <x:c r="I420" s="18" t="e">
        <x:f>HYPERLINK("https://search.naver.com/search.naver?where=blog&amp;query=%EC%9C%A0%EA%B0%80%EC%98%A5%EC%84%A4%EB%A0%81%ED%83%95+%EC%A4%91%EA%B5%AC","블로그 보기")</x:f>
        <x:v>HYPERLINK is not implemented. linkLocation=https://search.naver.com/search.naver?where=blog&amp;query=%EC%9C%A0%EA%B0%80%EC%98%A5%EC%84%A4%EB%A0%81%ED%83%95+%EC%A4%91%EA%B5%AC, friendlyName=블로그 보기</x:v>
      </x:c>
      <x:c r="J420" s="18" t="e">
        <x:f>HYPERLINK("https://smartstore.naver.com/yougaok","업체 보기")</x:f>
        <x:v>HYPERLINK is not implemented. linkLocation=https://smartstore.naver.com/yougaok, friendlyName=업체 보기</x:v>
      </x:c>
      <x:c r="K420" s="18" t="str"/>
      <x:c r="L420" s="17" t="str"/>
      <x:c r="M420" s="20" t="n">
        <x:v>46223</x:v>
      </x:c>
      <x:c r="N420" s="21" t="n">
        <x:v>63</x:v>
      </x:c>
      <x:c r="O420" s="21" t="n">
        <x:v>96</x:v>
      </x:c>
      <x:c r="P420" s="21" t="n">
        <x:v>207</x:v>
      </x:c>
      <x:c r="Q420" s="21" t="n">
        <x:v>2</x:v>
      </x:c>
      <x:c r="R420" s="21" t="n">
        <x:v>2</x:v>
      </x:c>
      <x:c r="S420" s="17" t="str">
        <x:v>보문산 국밥 | 보문산 냉면</x:v>
      </x:c>
      <x:c r="T420" s="22" t="n">
        <x:v>36.314634</x:v>
      </x:c>
      <x:c r="U420" s="22" t="n">
        <x:v>127.4336656</x:v>
      </x:c>
    </x:row>
    <x:row r="421" ht="32" customHeight="1">
      <x:c r="A421" s="18" t="str">
        <x:v>pending</x:v>
      </x:c>
      <x:c r="B421" s="18" t="str">
        <x:v>중구</x:v>
      </x:c>
      <x:c r="C421" s="17" t="str">
        <x:v>똑순이네</x:v>
      </x:c>
      <x:c r="D421" s="17" t="str">
        <x:v>한식&gt;닭요리</x:v>
      </x:c>
      <x:c r="E421" s="19" t="n">
        <x:v>59</x:v>
      </x:c>
      <x:c r="F421" s="17" t="str">
        <x:v>최근 12개월 블로그 62건</x:v>
      </x:c>
      <x:c r="G421" s="17" t="str">
        <x:v>대전광역시 중구 대사동 148-19</x:v>
      </x:c>
      <x:c r="H421" s="17" t="str">
        <x:v>대전광역시 중구 보문산공원로 522</x:v>
      </x:c>
      <x:c r="I421" s="18" t="e">
        <x:f>HYPERLINK("https://search.naver.com/search.naver?where=blog&amp;query=%EB%98%91%EC%88%9C%EC%9D%B4%EB%84%A4+%EC%A4%91%EA%B5%AC","블로그 보기")</x:f>
        <x:v>HYPERLINK is not implemented. linkLocation=https://search.naver.com/search.naver?where=blog&amp;query=%EB%98%91%EC%88%9C%EC%9D%B4%EB%84%A4+%EC%A4%91%EA%B5%AC, friendlyName=블로그 보기</x:v>
      </x:c>
      <x:c r="J421" s="18" t="str"/>
      <x:c r="K421" s="18" t="str"/>
      <x:c r="L421" s="17" t="str"/>
      <x:c r="M421" s="20" t="n">
        <x:v>46208</x:v>
      </x:c>
      <x:c r="N421" s="21" t="n">
        <x:v>62</x:v>
      </x:c>
      <x:c r="O421" s="21" t="n">
        <x:v>85</x:v>
      </x:c>
      <x:c r="P421" s="21" t="n">
        <x:v>474</x:v>
      </x:c>
      <x:c r="Q421" s="21" t="n">
        <x:v>2</x:v>
      </x:c>
      <x:c r="R421" s="21" t="n">
        <x:v>1</x:v>
      </x:c>
      <x:c r="S421" s="17" t="str">
        <x:v>보문산 삼계탕</x:v>
      </x:c>
      <x:c r="T421" s="22" t="n">
        <x:v>36.3144452</x:v>
      </x:c>
      <x:c r="U421" s="22" t="n">
        <x:v>127.4239951</x:v>
      </x:c>
    </x:row>
    <x:row r="422" ht="32" customHeight="1">
      <x:c r="A422" s="18" t="str">
        <x:v>pending</x:v>
      </x:c>
      <x:c r="B422" s="18" t="str">
        <x:v>중구</x:v>
      </x:c>
      <x:c r="C422" s="17" t="str">
        <x:v>시민칼국수</x:v>
      </x:c>
      <x:c r="D422" s="17" t="str">
        <x:v>한식&gt;칼국수,만두</x:v>
      </x:c>
      <x:c r="E422" s="19" t="n">
        <x:v>59</x:v>
      </x:c>
      <x:c r="F422" s="17" t="str">
        <x:v>지역성: 칼국수; 최근 12개월 블로그 100건</x:v>
      </x:c>
      <x:c r="G422" s="17" t="str">
        <x:v>대전광역시 중구 문화동 1-166</x:v>
      </x:c>
      <x:c r="H422" s="17" t="str">
        <x:v>대전광역시 중구 대흥로10번길 5</x:v>
      </x:c>
      <x:c r="I422" s="18" t="e">
        <x:f>HYPERLINK("https://search.naver.com/search.naver?where=blog&amp;query=%EC%8B%9C%EB%AF%BC%EC%B9%BC%EA%B5%AD%EC%88%98+%EC%A4%91%EA%B5%AC","블로그 보기")</x:f>
        <x:v>HYPERLINK is not implemented. linkLocation=https://search.naver.com/search.naver?where=blog&amp;query=%EC%8B%9C%EB%AF%BC%EC%B9%BC%EA%B5%AD%EC%88%98+%EC%A4%91%EA%B5%AC, friendlyName=블로그 보기</x:v>
      </x:c>
      <x:c r="J422" s="18" t="str"/>
      <x:c r="K422" s="18" t="str"/>
      <x:c r="L422" s="17" t="str"/>
      <x:c r="M422" s="20" t="n">
        <x:v>46223</x:v>
      </x:c>
      <x:c r="N422" s="21" t="n">
        <x:v>100</x:v>
      </x:c>
      <x:c r="O422" s="21" t="n">
        <x:v>95</x:v>
      </x:c>
      <x:c r="P422" s="21" t="n">
        <x:v>4590</x:v>
      </x:c>
      <x:c r="Q422" s="21" t="n">
        <x:v>1</x:v>
      </x:c>
      <x:c r="R422" s="21" t="n">
        <x:v>0</x:v>
      </x:c>
      <x:c r="S422" s="17" t="str">
        <x:v>보문산 두부두루치기</x:v>
      </x:c>
      <x:c r="T422" s="22" t="n">
        <x:v>36.3210687</x:v>
      </x:c>
      <x:c r="U422" s="22" t="n">
        <x:v>127.4156479</x:v>
      </x:c>
    </x:row>
    <x:row r="423" ht="32" customHeight="1">
      <x:c r="A423" s="18" t="str">
        <x:v>pending</x:v>
      </x:c>
      <x:c r="B423" s="18" t="str">
        <x:v>중구</x:v>
      </x:c>
      <x:c r="C423" s="17" t="str">
        <x:v>다정식당</x:v>
      </x:c>
      <x:c r="D423" s="17" t="str">
        <x:v>음식점&gt;한식</x:v>
      </x:c>
      <x:c r="E423" s="19" t="n">
        <x:v>58</x:v>
      </x:c>
      <x:c r="F423" s="17" t="str">
        <x:v>최근 12개월 블로그 67건</x:v>
      </x:c>
      <x:c r="G423" s="17" t="str">
        <x:v>대전광역시 중구 대사동 198-138</x:v>
      </x:c>
      <x:c r="H423" s="17" t="str">
        <x:v>대전광역시 중구 보문산공원로 496</x:v>
      </x:c>
      <x:c r="I423" s="18" t="e">
        <x:f>HYPERLINK("https://search.naver.com/search.naver?where=blog&amp;query=%EB%8B%A4%EC%A0%95%EC%8B%9D%EB%8B%B9+%EC%A4%91%EA%B5%AC","블로그 보기")</x:f>
        <x:v>HYPERLINK is not implemented. linkLocation=https://search.naver.com/search.naver?where=blog&amp;query=%EB%8B%A4%EC%A0%95%EC%8B%9D%EB%8B%B9+%EC%A4%91%EA%B5%AC, friendlyName=블로그 보기</x:v>
      </x:c>
      <x:c r="J423" s="18" t="e">
        <x:f>HYPERLINK("https://www.instagram.com/boribab.dajung1981","업체 보기")</x:f>
        <x:v>HYPERLINK is not implemented. linkLocation=https://www.instagram.com/boribab.dajung1981, friendlyName=업체 보기</x:v>
      </x:c>
      <x:c r="K423" s="18" t="str"/>
      <x:c r="L423" s="17" t="str"/>
      <x:c r="M423" s="20" t="n">
        <x:v>46216</x:v>
      </x:c>
      <x:c r="N423" s="21" t="n">
        <x:v>67</x:v>
      </x:c>
      <x:c r="O423" s="21" t="n">
        <x:v>100</x:v>
      </x:c>
      <x:c r="P423" s="21" t="n">
        <x:v>324</x:v>
      </x:c>
      <x:c r="Q423" s="21" t="n">
        <x:v>2</x:v>
      </x:c>
      <x:c r="R423" s="21" t="n">
        <x:v>1</x:v>
      </x:c>
      <x:c r="S423" s="17" t="str">
        <x:v>보문산 두부두루치기</x:v>
      </x:c>
      <x:c r="T423" s="22" t="n">
        <x:v>36.3130053</x:v>
      </x:c>
      <x:c r="U423" s="22" t="n">
        <x:v>127.4220004</x:v>
      </x:c>
    </x:row>
    <x:row r="424" ht="32" customHeight="1">
      <x:c r="A424" s="18" t="str">
        <x:v>pending</x:v>
      </x:c>
      <x:c r="B424" s="18" t="str">
        <x:v>중구</x:v>
      </x:c>
      <x:c r="C424" s="17" t="str">
        <x:v>남원집</x:v>
      </x:c>
      <x:c r="D424" s="17" t="str">
        <x:v>음식점&gt;한식</x:v>
      </x:c>
      <x:c r="E424" s="19" t="n">
        <x:v>57</x:v>
      </x:c>
      <x:c r="F424" s="17" t="str">
        <x:v>최근 12개월 블로그 28건</x:v>
      </x:c>
      <x:c r="G424" s="17" t="str">
        <x:v>대전광역시 중구 문화동 491-1 1층</x:v>
      </x:c>
      <x:c r="H424" s="17" t="str">
        <x:v>대전광역시 중구 보문산로227번길 57 1층</x:v>
      </x:c>
      <x:c r="I424" s="18" t="e">
        <x:f>HYPERLINK("https://search.naver.com/search.naver?where=blog&amp;query=%EB%82%A8%EC%9B%90%EC%A7%91+%EC%A4%91%EA%B5%AC","블로그 보기")</x:f>
        <x:v>HYPERLINK is not implemented. linkLocation=https://search.naver.com/search.naver?where=blog&amp;query=%EB%82%A8%EC%9B%90%EC%A7%91+%EC%A4%91%EA%B5%AC, friendlyName=블로그 보기</x:v>
      </x:c>
      <x:c r="J424" s="18" t="e">
        <x:f>HYPERLINK("https://www.instagram.com/namwonjip","업체 보기")</x:f>
        <x:v>HYPERLINK is not implemented. linkLocation=https://www.instagram.com/namwonjip, friendlyName=업체 보기</x:v>
      </x:c>
      <x:c r="K424" s="18" t="str"/>
      <x:c r="L424" s="17" t="str"/>
      <x:c r="M424" s="20" t="n">
        <x:v>46220</x:v>
      </x:c>
      <x:c r="N424" s="21" t="n">
        <x:v>28</x:v>
      </x:c>
      <x:c r="O424" s="21" t="n">
        <x:v>88</x:v>
      </x:c>
      <x:c r="P424" s="21" t="n">
        <x:v>181</x:v>
      </x:c>
      <x:c r="Q424" s="21" t="n">
        <x:v>2</x:v>
      </x:c>
      <x:c r="R424" s="21" t="n">
        <x:v>1</x:v>
      </x:c>
      <x:c r="S424" s="17" t="str">
        <x:v>보문산 고기</x:v>
      </x:c>
      <x:c r="T424" s="22" t="n">
        <x:v>36.30822</x:v>
      </x:c>
      <x:c r="U424" s="22" t="n">
        <x:v>127.4041689</x:v>
      </x:c>
    </x:row>
    <x:row r="425" ht="32" customHeight="1">
      <x:c r="A425" s="18" t="str">
        <x:v>pending</x:v>
      </x:c>
      <x:c r="B425" s="18" t="str">
        <x:v>중구</x:v>
      </x:c>
      <x:c r="C425" s="17" t="str">
        <x:v>복수분식 본점</x:v>
      </x:c>
      <x:c r="D425" s="17" t="str">
        <x:v>분식&gt;종합분식</x:v>
      </x:c>
      <x:c r="E425" s="19" t="n">
        <x:v>57</x:v>
      </x:c>
      <x:c r="F425" s="17" t="str">
        <x:v>지역성: 본점; 최근 12개월 블로그 100건</x:v>
      </x:c>
      <x:c r="G425" s="17" t="str">
        <x:v>대전광역시 중구 대흥동 467-4</x:v>
      </x:c>
      <x:c r="H425" s="17" t="str">
        <x:v>대전광역시 중구 중교로 27</x:v>
      </x:c>
      <x:c r="I425" s="18" t="e">
        <x:f>HYPERLINK("https://search.naver.com/search.naver?where=blog&amp;query=%EB%B3%B5%EC%88%98%EB%B6%84%EC%8B%9D+%EB%B3%B8%EC%A0%90+%EC%A4%91%EA%B5%AC","블로그 보기")</x:f>
        <x:v>HYPERLINK is not implemented. linkLocation=https://search.naver.com/search.naver?where=blog&amp;query=%EB%B3%B5%EC%88%98%EB%B6%84%EC%8B%9D+%EB%B3%B8%EC%A0%90+%EC%A4%91%EA%B5%AC, friendlyName=블로그 보기</x:v>
      </x:c>
      <x:c r="J425" s="18" t="e">
        <x:f>HYPERLINK("https://smartstore.naver.com/","업체 보기")</x:f>
        <x:v>HYPERLINK is not implemented. linkLocation=https://smartstore.naver.com/, friendlyName=업체 보기</x:v>
      </x:c>
      <x:c r="K425" s="18" t="str"/>
      <x:c r="L425" s="17" t="str"/>
      <x:c r="M425" s="20" t="n">
        <x:v>46221</x:v>
      </x:c>
      <x:c r="N425" s="21" t="n">
        <x:v>100</x:v>
      </x:c>
      <x:c r="O425" s="21" t="n">
        <x:v>100</x:v>
      </x:c>
      <x:c r="P425" s="21" t="n">
        <x:v>619</x:v>
      </x:c>
      <x:c r="Q425" s="21" t="n">
        <x:v>1</x:v>
      </x:c>
      <x:c r="R425" s="21" t="n">
        <x:v>0</x:v>
      </x:c>
      <x:c r="S425" s="17" t="str">
        <x:v>보문산 분식</x:v>
      </x:c>
      <x:c r="T425" s="22" t="n">
        <x:v>36.3250643</x:v>
      </x:c>
      <x:c r="U425" s="22" t="n">
        <x:v>127.4228461</x:v>
      </x:c>
    </x:row>
    <x:row r="426" ht="32" customHeight="1">
      <x:c r="A426" s="18" t="str">
        <x:v>pending</x:v>
      </x:c>
      <x:c r="B426" s="18" t="str">
        <x:v>중구</x:v>
      </x:c>
      <x:c r="C426" s="17" t="str">
        <x:v>북경</x:v>
      </x:c>
      <x:c r="D426" s="17" t="str">
        <x:v>중식&gt;중식당</x:v>
      </x:c>
      <x:c r="E426" s="19" t="n">
        <x:v>57</x:v>
      </x:c>
      <x:c r="F426" s="17" t="str">
        <x:v>최근 12개월 블로그 100건</x:v>
      </x:c>
      <x:c r="G426" s="17" t="str">
        <x:v>대전광역시 중구 부사동 141-11</x:v>
      </x:c>
      <x:c r="H426" s="17" t="str">
        <x:v>대전광역시 중구 보문로 99-2</x:v>
      </x:c>
      <x:c r="I426" s="18" t="e">
        <x:f>HYPERLINK("https://search.naver.com/search.naver?where=blog&amp;query=%EB%B6%81%EA%B2%BD+%EC%A4%91%EA%B5%AC","블로그 보기")</x:f>
        <x:v>HYPERLINK is not implemented. linkLocation=https://search.naver.com/search.naver?where=blog&amp;query=%EB%B6%81%EA%B2%BD+%EC%A4%91%EA%B5%AC, friendlyName=블로그 보기</x:v>
      </x:c>
      <x:c r="J426" s="18" t="str"/>
      <x:c r="K426" s="18" t="str"/>
      <x:c r="L426" s="17" t="str"/>
      <x:c r="M426" s="20" t="n">
        <x:v>46223</x:v>
      </x:c>
      <x:c r="N426" s="21" t="n">
        <x:v>100</x:v>
      </x:c>
      <x:c r="O426" s="21" t="n">
        <x:v>77</x:v>
      </x:c>
      <x:c r="P426" s="21" t="n">
        <x:v>484897</x:v>
      </x:c>
      <x:c r="Q426" s="21" t="n">
        <x:v>1</x:v>
      </x:c>
      <x:c r="R426" s="21" t="n">
        <x:v>1</x:v>
      </x:c>
      <x:c r="S426" s="17" t="str">
        <x:v>보문산 중식</x:v>
      </x:c>
      <x:c r="T426" s="22" t="n">
        <x:v>36.313477</x:v>
      </x:c>
      <x:c r="U426" s="22" t="n">
        <x:v>127.4299825</x:v>
      </x:c>
    </x:row>
    <x:row r="427" ht="32" customHeight="1">
      <x:c r="A427" s="18" t="str">
        <x:v>pending</x:v>
      </x:c>
      <x:c r="B427" s="18" t="str">
        <x:v>중구</x:v>
      </x:c>
      <x:c r="C427" s="17" t="str">
        <x:v>소담</x:v>
      </x:c>
      <x:c r="D427" s="17" t="str">
        <x:v>음식점&gt;일식&gt;초밥,롤</x:v>
      </x:c>
      <x:c r="E427" s="19" t="n">
        <x:v>57</x:v>
      </x:c>
      <x:c r="F427" s="17" t="str">
        <x:v>최근 12개월 블로그 100건</x:v>
      </x:c>
      <x:c r="G427" s="17" t="str">
        <x:v>대전광역시 중구 부사동 147-13</x:v>
      </x:c>
      <x:c r="H427" s="17" t="str">
        <x:v>대전광역시 중구 보문로 71</x:v>
      </x:c>
      <x:c r="I427" s="18" t="e">
        <x:f>HYPERLINK("https://search.naver.com/search.naver?where=blog&amp;query=%EC%86%8C%EB%8B%B4+%EC%A4%91%EA%B5%AC","블로그 보기")</x:f>
        <x:v>HYPERLINK is not implemented. linkLocation=https://search.naver.com/search.naver?where=blog&amp;query=%EC%86%8C%EB%8B%B4+%EC%A4%91%EA%B5%AC, friendlyName=블로그 보기</x:v>
      </x:c>
      <x:c r="J427" s="18" t="str"/>
      <x:c r="K427" s="18" t="str"/>
      <x:c r="L427" s="17" t="str"/>
      <x:c r="M427" s="20" t="n">
        <x:v>46223</x:v>
      </x:c>
      <x:c r="N427" s="21" t="n">
        <x:v>100</x:v>
      </x:c>
      <x:c r="O427" s="21" t="n">
        <x:v>93</x:v>
      </x:c>
      <x:c r="P427" s="21" t="n">
        <x:v>4956</x:v>
      </x:c>
      <x:c r="Q427" s="21" t="n">
        <x:v>1</x:v>
      </x:c>
      <x:c r="R427" s="21" t="n">
        <x:v>1</x:v>
      </x:c>
      <x:c r="S427" s="17" t="str">
        <x:v>보문산 일식</x:v>
      </x:c>
      <x:c r="T427" s="22" t="n">
        <x:v>36.3131991</x:v>
      </x:c>
      <x:c r="U427" s="22" t="n">
        <x:v>127.4329955</x:v>
      </x:c>
    </x:row>
    <x:row r="428" ht="32" customHeight="1">
      <x:c r="A428" s="18" t="str">
        <x:v>pending</x:v>
      </x:c>
      <x:c r="B428" s="18" t="str">
        <x:v>중구</x:v>
      </x:c>
      <x:c r="C428" s="17" t="str">
        <x:v>소풍</x:v>
      </x:c>
      <x:c r="D428" s="17" t="str">
        <x:v>음식점&gt;일식&gt;돈가스</x:v>
      </x:c>
      <x:c r="E428" s="19" t="n">
        <x:v>57</x:v>
      </x:c>
      <x:c r="F428" s="17" t="str">
        <x:v>최근 12개월 블로그 100건</x:v>
      </x:c>
      <x:c r="G428" s="17" t="str">
        <x:v>대전광역시 중구 부사동 146-7</x:v>
      </x:c>
      <x:c r="H428" s="17" t="str">
        <x:v>대전광역시 중구 보문로 85</x:v>
      </x:c>
      <x:c r="I428" s="18" t="e">
        <x:f>HYPERLINK("https://search.naver.com/search.naver?where=blog&amp;query=%EC%86%8C%ED%92%8D+%EC%A4%91%EA%B5%AC","블로그 보기")</x:f>
        <x:v>HYPERLINK is not implemented. linkLocation=https://search.naver.com/search.naver?where=blog&amp;query=%EC%86%8C%ED%92%8D+%EC%A4%91%EA%B5%AC, friendlyName=블로그 보기</x:v>
      </x:c>
      <x:c r="J428" s="18" t="str"/>
      <x:c r="K428" s="18" t="str"/>
      <x:c r="L428" s="17" t="str"/>
      <x:c r="M428" s="20" t="n">
        <x:v>46223</x:v>
      </x:c>
      <x:c r="N428" s="21" t="n">
        <x:v>100</x:v>
      </x:c>
      <x:c r="O428" s="21" t="n">
        <x:v>85</x:v>
      </x:c>
      <x:c r="P428" s="21" t="n">
        <x:v>16194</x:v>
      </x:c>
      <x:c r="Q428" s="21" t="n">
        <x:v>1</x:v>
      </x:c>
      <x:c r="R428" s="21" t="n">
        <x:v>1</x:v>
      </x:c>
      <x:c r="S428" s="17" t="str">
        <x:v>보문산 일식</x:v>
      </x:c>
      <x:c r="T428" s="22" t="n">
        <x:v>36.3133136</x:v>
      </x:c>
      <x:c r="U428" s="22" t="n">
        <x:v>127.4316433</x:v>
      </x:c>
    </x:row>
    <x:row r="429" ht="32" customHeight="1">
      <x:c r="A429" s="18" t="str">
        <x:v>pending</x:v>
      </x:c>
      <x:c r="B429" s="18" t="str">
        <x:v>중구</x:v>
      </x:c>
      <x:c r="C429" s="17" t="str">
        <x:v>우리왕만두</x:v>
      </x:c>
      <x:c r="D429" s="17" t="str">
        <x:v>분식&gt;종합분식</x:v>
      </x:c>
      <x:c r="E429" s="19" t="n">
        <x:v>57</x:v>
      </x:c>
      <x:c r="F429" s="17" t="str">
        <x:v>최근 12개월 블로그 100건</x:v>
      </x:c>
      <x:c r="G429" s="17" t="str">
        <x:v>대전광역시 중구 문창동 361-18</x:v>
      </x:c>
      <x:c r="H429" s="17" t="str">
        <x:v>대전광역시 중구 문창로 6</x:v>
      </x:c>
      <x:c r="I429" s="18" t="e">
        <x:f>HYPERLINK("https://search.naver.com/search.naver?where=blog&amp;query=%EC%9A%B0%EB%A6%AC%EC%99%95%EB%A7%8C%EB%91%90+%EC%A4%91%EA%B5%AC","블로그 보기")</x:f>
        <x:v>HYPERLINK is not implemented. linkLocation=https://search.naver.com/search.naver?where=blog&amp;query=%EC%9A%B0%EB%A6%AC%EC%99%95%EB%A7%8C%EB%91%90+%EC%A4%91%EA%B5%AC, friendlyName=블로그 보기</x:v>
      </x:c>
      <x:c r="J429" s="18" t="e">
        <x:f>HYPERLINK("http://itvplus.co.kr/home5/wangmandu/","업체 보기")</x:f>
        <x:v>HYPERLINK is not implemented. linkLocation=http://itvplus.co.kr/home5/wangmandu/, friendlyName=업체 보기</x:v>
      </x:c>
      <x:c r="K429" s="18" t="str"/>
      <x:c r="L429" s="17" t="str"/>
      <x:c r="M429" s="20" t="n">
        <x:v>46223</x:v>
      </x:c>
      <x:c r="N429" s="21" t="n">
        <x:v>100</x:v>
      </x:c>
      <x:c r="O429" s="21" t="n">
        <x:v>94</x:v>
      </x:c>
      <x:c r="P429" s="21" t="n">
        <x:v>3507</x:v>
      </x:c>
      <x:c r="Q429" s="21" t="n">
        <x:v>1</x:v>
      </x:c>
      <x:c r="R429" s="21" t="n">
        <x:v>1</x:v>
      </x:c>
      <x:c r="S429" s="17" t="str">
        <x:v>보문산 분식</x:v>
      </x:c>
      <x:c r="T429" s="22" t="n">
        <x:v>36.3142039</x:v>
      </x:c>
      <x:c r="U429" s="22" t="n">
        <x:v>127.4364911</x:v>
      </x:c>
    </x:row>
    <x:row r="430" ht="32" customHeight="1">
      <x:c r="A430" s="18" t="str">
        <x:v>pending</x:v>
      </x:c>
      <x:c r="B430" s="18" t="str">
        <x:v>중구</x:v>
      </x:c>
      <x:c r="C430" s="17" t="str">
        <x:v>지글지글</x:v>
      </x:c>
      <x:c r="D430" s="17" t="str">
        <x:v>한식&gt;곱창,막창,양</x:v>
      </x:c>
      <x:c r="E430" s="19" t="n">
        <x:v>57</x:v>
      </x:c>
      <x:c r="F430" s="17" t="str">
        <x:v>최근 12개월 블로그 100건</x:v>
      </x:c>
      <x:c r="G430" s="17" t="str">
        <x:v>대전광역시 중구 문창동 371-23</x:v>
      </x:c>
      <x:c r="H430" s="17" t="str">
        <x:v>대전광역시 중구 보문로 23</x:v>
      </x:c>
      <x:c r="I430" s="18" t="e">
        <x:f>HYPERLINK("https://search.naver.com/search.naver?where=blog&amp;query=%EC%A7%80%EA%B8%80%EC%A7%80%EA%B8%80+%EC%A4%91%EA%B5%AC","블로그 보기")</x:f>
        <x:v>HYPERLINK is not implemented. linkLocation=https://search.naver.com/search.naver?where=blog&amp;query=%EC%A7%80%EA%B8%80%EC%A7%80%EA%B8%80+%EC%A4%91%EA%B5%AC, friendlyName=블로그 보기</x:v>
      </x:c>
      <x:c r="J430" s="18" t="str"/>
      <x:c r="K430" s="18" t="str"/>
      <x:c r="L430" s="17" t="str"/>
      <x:c r="M430" s="20" t="n">
        <x:v>46223</x:v>
      </x:c>
      <x:c r="N430" s="21" t="n">
        <x:v>100</x:v>
      </x:c>
      <x:c r="O430" s="21" t="n">
        <x:v>95</x:v>
      </x:c>
      <x:c r="P430" s="21" t="n">
        <x:v>35729</x:v>
      </x:c>
      <x:c r="Q430" s="21" t="n">
        <x:v>1</x:v>
      </x:c>
      <x:c r="R430" s="21" t="n">
        <x:v>1</x:v>
      </x:c>
      <x:c r="S430" s="17" t="str">
        <x:v>보문산 고기</x:v>
      </x:c>
      <x:c r="T430" s="22" t="n">
        <x:v>36.3142458</x:v>
      </x:c>
      <x:c r="U430" s="22" t="n">
        <x:v>127.4382602</x:v>
      </x:c>
    </x:row>
    <x:row r="431" ht="32" customHeight="1">
      <x:c r="A431" s="18" t="str">
        <x:v>pending</x:v>
      </x:c>
      <x:c r="B431" s="18" t="str">
        <x:v>중구</x:v>
      </x:c>
      <x:c r="C431" s="17" t="str">
        <x:v>하나분식</x:v>
      </x:c>
      <x:c r="D431" s="17" t="str">
        <x:v>분식&gt;종합분식</x:v>
      </x:c>
      <x:c r="E431" s="19" t="n">
        <x:v>57</x:v>
      </x:c>
      <x:c r="F431" s="17" t="str">
        <x:v>최근 12개월 블로그 100건</x:v>
      </x:c>
      <x:c r="G431" s="17" t="str">
        <x:v>대전광역시 중구 문창동 362-9</x:v>
      </x:c>
      <x:c r="H431" s="17" t="str">
        <x:v>대전광역시 중구 문창로 8</x:v>
      </x:c>
      <x:c r="I431" s="18" t="e">
        <x:f>HYPERLINK("https://search.naver.com/search.naver?where=blog&amp;query=%ED%95%98%EB%82%98%EB%B6%84%EC%8B%9D+%EC%A4%91%EA%B5%AC","블로그 보기")</x:f>
        <x:v>HYPERLINK is not implemented. linkLocation=https://search.naver.com/search.naver?where=blog&amp;query=%ED%95%98%EB%82%98%EB%B6%84%EC%8B%9D+%EC%A4%91%EA%B5%AC, friendlyName=블로그 보기</x:v>
      </x:c>
      <x:c r="J431" s="18" t="str"/>
      <x:c r="K431" s="18" t="str"/>
      <x:c r="L431" s="17" t="str"/>
      <x:c r="M431" s="20" t="n">
        <x:v>46223</x:v>
      </x:c>
      <x:c r="N431" s="21" t="n">
        <x:v>100</x:v>
      </x:c>
      <x:c r="O431" s="21" t="n">
        <x:v>92</x:v>
      </x:c>
      <x:c r="P431" s="21" t="n">
        <x:v>16887</x:v>
      </x:c>
      <x:c r="Q431" s="21" t="n">
        <x:v>1</x:v>
      </x:c>
      <x:c r="R431" s="21" t="n">
        <x:v>1</x:v>
      </x:c>
      <x:c r="S431" s="17" t="str">
        <x:v>보문산 분식</x:v>
      </x:c>
      <x:c r="T431" s="22" t="n">
        <x:v>36.3144426</x:v>
      </x:c>
      <x:c r="U431" s="22" t="n">
        <x:v>127.4363713</x:v>
      </x:c>
    </x:row>
    <x:row r="432" ht="32" customHeight="1">
      <x:c r="A432" s="18" t="str">
        <x:v>pending</x:v>
      </x:c>
      <x:c r="B432" s="18" t="str">
        <x:v>중구</x:v>
      </x:c>
      <x:c r="C432" s="17" t="str">
        <x:v>애국집</x:v>
      </x:c>
      <x:c r="D432" s="17" t="str">
        <x:v>음식점&gt;한식</x:v>
      </x:c>
      <x:c r="E432" s="19" t="n">
        <x:v>55</x:v>
      </x:c>
      <x:c r="F432" s="17" t="str">
        <x:v>최근 12개월 블로그 100건</x:v>
      </x:c>
      <x:c r="G432" s="17" t="str">
        <x:v>대전광역시 중구 대흥동 295-6 1층</x:v>
      </x:c>
      <x:c r="H432" s="17" t="str">
        <x:v>대전광역시 중구 테미로 35 1층</x:v>
      </x:c>
      <x:c r="I432" s="18" t="e">
        <x:f>HYPERLINK("https://search.naver.com/search.naver?where=blog&amp;query=%EC%95%A0%EA%B5%AD%EC%A7%91+%EC%A4%91%EA%B5%AC","블로그 보기")</x:f>
        <x:v>HYPERLINK is not implemented. linkLocation=https://search.naver.com/search.naver?where=blog&amp;query=%EC%95%A0%EA%B5%AD%EC%A7%91+%EC%A4%91%EA%B5%AC, friendlyName=블로그 보기</x:v>
      </x:c>
      <x:c r="J432" s="18" t="e">
        <x:f>HYPERLINK("https://app.catchtable.co.kr/ct/shop/koreahouse_?type=WAITING¤tSuggestionType=SHOP_NAME","업체 보기")</x:f>
        <x:v>HYPERLINK is not implemented. linkLocation=https://app.catchtable.co.kr/ct/shop/koreahouse_?type=WAITING¤tSuggestionType=SHOP_NAME, friendlyName=업체 보기</x:v>
      </x:c>
      <x:c r="K432" s="18" t="str"/>
      <x:c r="L432" s="17" t="str"/>
      <x:c r="M432" s="20" t="n">
        <x:v>46218</x:v>
      </x:c>
      <x:c r="N432" s="21" t="n">
        <x:v>100</x:v>
      </x:c>
      <x:c r="O432" s="21" t="n">
        <x:v>94</x:v>
      </x:c>
      <x:c r="P432" s="21" t="n">
        <x:v>267</x:v>
      </x:c>
      <x:c r="Q432" s="21" t="n">
        <x:v>2</x:v>
      </x:c>
      <x:c r="R432" s="21" t="n">
        <x:v>0</x:v>
      </x:c>
      <x:c r="S432" s="17" t="str">
        <x:v>보문산 고기 | 보문산 국밥</x:v>
      </x:c>
      <x:c r="T432" s="22" t="n">
        <x:v>36.3215612</x:v>
      </x:c>
      <x:c r="U432" s="22" t="n">
        <x:v>127.4205854</x:v>
      </x:c>
    </x:row>
    <x:row r="433" ht="32" customHeight="1">
      <x:c r="A433" s="18" t="str">
        <x:v>pending</x:v>
      </x:c>
      <x:c r="B433" s="18" t="str">
        <x:v>중구</x:v>
      </x:c>
      <x:c r="C433" s="17" t="str">
        <x:v>조기종의향미각 대전충대병원점</x:v>
      </x:c>
      <x:c r="D433" s="17" t="str">
        <x:v>중식&gt;중식당</x:v>
      </x:c>
      <x:c r="E433" s="19" t="n">
        <x:v>55</x:v>
      </x:c>
      <x:c r="F433" s="17" t="str">
        <x:v>지역성: 대전; 최근 12개월 블로그 100건</x:v>
      </x:c>
      <x:c r="G433" s="17" t="str">
        <x:v>대전광역시 중구 대사동 248-366 1층</x:v>
      </x:c>
      <x:c r="H433" s="17" t="str">
        <x:v>대전광역시 중구 문화로 273 1층</x:v>
      </x:c>
      <x:c r="I433" s="18" t="e">
        <x:f>HYPERLINK("https://search.naver.com/search.naver?where=blog&amp;query=%EC%A1%B0%EA%B8%B0%EC%A2%85%EC%9D%98%ED%96%A5%EB%AF%B8%EA%B0%81+%EB%8C%80%EC%A0%84%EC%B6%A9%EB%8C%80%EB%B3%91%EC%9B%90%EC%A0%90+%EC%A4%91%EA%B5%AC","블로그 보기")</x:f>
        <x:v>HYPERLINK is not implemented. linkLocation=https://search.naver.com/search.naver?where=blog&amp;query=%EC%A1%B0%EA%B8%B0%EC%A2%85%EC%9D%98%ED%96%A5%EB%AF%B8%EA%B0%81+%EB%8C%80%EC%A0%84%EC%B6%A9%EB%8C%80%EB%B3%91%EC%9B%90%EC%A0%90+%EC%A4%91%EA%B5%AC, friendlyName=블로그 보기</x:v>
      </x:c>
      <x:c r="J433" s="18" t="str"/>
      <x:c r="K433" s="18" t="str"/>
      <x:c r="L433" s="17" t="str"/>
      <x:c r="M433" s="20" t="n">
        <x:v>46191</x:v>
      </x:c>
      <x:c r="N433" s="21" t="n">
        <x:v>100</x:v>
      </x:c>
      <x:c r="O433" s="21" t="n">
        <x:v>97</x:v>
      </x:c>
      <x:c r="P433" s="21" t="n">
        <x:v>123</x:v>
      </x:c>
      <x:c r="Q433" s="21" t="n">
        <x:v>1</x:v>
      </x:c>
      <x:c r="R433" s="21" t="n">
        <x:v>0</x:v>
      </x:c>
      <x:c r="S433" s="17" t="str">
        <x:v>보문산 중식</x:v>
      </x:c>
      <x:c r="T433" s="22" t="n">
        <x:v>36.3180366</x:v>
      </x:c>
      <x:c r="U433" s="22" t="n">
        <x:v>127.4144451</x:v>
      </x:c>
    </x:row>
    <x:row r="434" ht="32" customHeight="1">
      <x:c r="A434" s="18" t="str">
        <x:v>pending</x:v>
      </x:c>
      <x:c r="B434" s="18" t="str">
        <x:v>중구</x:v>
      </x:c>
      <x:c r="C434" s="17" t="str">
        <x:v>하쿠류코쿠류 본점</x:v>
      </x:c>
      <x:c r="D434" s="17" t="str">
        <x:v>음식점&gt;일식&gt;일식당</x:v>
      </x:c>
      <x:c r="E434" s="19" t="n">
        <x:v>55</x:v>
      </x:c>
      <x:c r="F434" s="17" t="str">
        <x:v>지역성: 본점; 최근 12개월 블로그 98건</x:v>
      </x:c>
      <x:c r="G434" s="17" t="str">
        <x:v>대전광역시 중구 대흥동 452-69 1층</x:v>
      </x:c>
      <x:c r="H434" s="17" t="str">
        <x:v>대전광역시 중구 대흥로111번길 42 1층</x:v>
      </x:c>
      <x:c r="I434" s="18" t="e">
        <x:f>HYPERLINK("https://search.naver.com/search.naver?where=blog&amp;query=%ED%95%98%EC%BF%A0%EB%A5%98%EC%BD%94%EC%BF%A0%EB%A5%98+%EB%B3%B8%EC%A0%90+%EC%A4%91%EA%B5%AC","블로그 보기")</x:f>
        <x:v>HYPERLINK is not implemented. linkLocation=https://search.naver.com/search.naver?where=blog&amp;query=%ED%95%98%EC%BF%A0%EB%A5%98%EC%BD%94%EC%BF%A0%EB%A5%98+%EB%B3%B8%EC%A0%90+%EC%A4%91%EA%B5%AC, friendlyName=블로그 보기</x:v>
      </x:c>
      <x:c r="J434" s="18" t="e">
        <x:f>HYPERLINK("https://litt.ly/hakuryu_kokuryu","업체 보기")</x:f>
        <x:v>HYPERLINK is not implemented. linkLocation=https://litt.ly/hakuryu_kokuryu, friendlyName=업체 보기</x:v>
      </x:c>
      <x:c r="K434" s="18" t="str"/>
      <x:c r="L434" s="17" t="str"/>
      <x:c r="M434" s="20" t="n">
        <x:v>46220</x:v>
      </x:c>
      <x:c r="N434" s="21" t="n">
        <x:v>98</x:v>
      </x:c>
      <x:c r="O434" s="21" t="n">
        <x:v>97</x:v>
      </x:c>
      <x:c r="P434" s="21" t="n">
        <x:v>106</x:v>
      </x:c>
      <x:c r="Q434" s="21" t="n">
        <x:v>1</x:v>
      </x:c>
      <x:c r="R434" s="21" t="n">
        <x:v>0</x:v>
      </x:c>
      <x:c r="S434" s="17" t="str">
        <x:v>보문산 일식</x:v>
      </x:c>
      <x:c r="T434" s="22" t="n">
        <x:v>36.3249349</x:v>
      </x:c>
      <x:c r="U434" s="22" t="n">
        <x:v>127.4238479</x:v>
      </x:c>
    </x:row>
    <x:row r="435" ht="32" customHeight="1">
      <x:c r="A435" s="18" t="str">
        <x:v>pending</x:v>
      </x:c>
      <x:c r="B435" s="18" t="str">
        <x:v>중구</x:v>
      </x:c>
      <x:c r="C435" s="17" t="str">
        <x:v>소담칼국수쭈꾸미 문화점</x:v>
      </x:c>
      <x:c r="D435" s="17" t="str">
        <x:v>한식&gt;칼국수,만두</x:v>
      </x:c>
      <x:c r="E435" s="19" t="n">
        <x:v>54</x:v>
      </x:c>
      <x:c r="F435" s="17" t="str">
        <x:v>지역성: 칼국수; 최근 12개월 블로그 51건</x:v>
      </x:c>
      <x:c r="G435" s="17" t="str">
        <x:v>대전광역시 중구 문화동 11-15 1층</x:v>
      </x:c>
      <x:c r="H435" s="17" t="str">
        <x:v>대전광역시 중구 보문산로365번길 2 1층</x:v>
      </x:c>
      <x:c r="I435" s="18" t="e">
        <x:f>HYPERLINK("https://search.naver.com/search.naver?where=blog&amp;query=%EC%86%8C%EB%8B%B4%EC%B9%BC%EA%B5%AD%EC%88%98%EC%AD%88%EA%BE%B8%EB%AF%B8+%EB%AC%B8%ED%99%94%EC%A0%90+%EC%A4%91%EA%B5%AC","블로그 보기")</x:f>
        <x:v>HYPERLINK is not implemented. linkLocation=https://search.naver.com/search.naver?where=blog&amp;query=%EC%86%8C%EB%8B%B4%EC%B9%BC%EA%B5%AD%EC%88%98%EC%AD%88%EA%BE%B8%EB%AF%B8+%EB%AC%B8%ED%99%94%EC%A0%90+%EC%A4%91%EA%B5%AC, friendlyName=블로그 보기</x:v>
      </x:c>
      <x:c r="J435" s="18" t="e">
        <x:f>HYPERLINK("https://www.instagram.com/sodam_munhwa","업체 보기")</x:f>
        <x:v>HYPERLINK is not implemented. linkLocation=https://www.instagram.com/sodam_munhwa, friendlyName=업체 보기</x:v>
      </x:c>
      <x:c r="K435" s="18" t="str"/>
      <x:c r="L435" s="17" t="str"/>
      <x:c r="M435" s="20" t="n">
        <x:v>46192</x:v>
      </x:c>
      <x:c r="N435" s="21" t="n">
        <x:v>51</x:v>
      </x:c>
      <x:c r="O435" s="21" t="n">
        <x:v>51</x:v>
      </x:c>
      <x:c r="P435" s="21" t="n">
        <x:v>51</x:v>
      </x:c>
      <x:c r="Q435" s="21" t="n">
        <x:v>1</x:v>
      </x:c>
      <x:c r="R435" s="21" t="n">
        <x:v>0</x:v>
      </x:c>
      <x:c r="S435" s="17" t="str">
        <x:v>보문산 칼국수</x:v>
      </x:c>
      <x:c r="T435" s="22" t="n">
        <x:v>36.3145005</x:v>
      </x:c>
      <x:c r="U435" s="22" t="n">
        <x:v>127.4164569</x:v>
      </x:c>
    </x:row>
    <x:row r="436" ht="32" customHeight="1">
      <x:c r="A436" s="18" t="str">
        <x:v>pending</x:v>
      </x:c>
      <x:c r="B436" s="18" t="str">
        <x:v>중구</x:v>
      </x:c>
      <x:c r="C436" s="17" t="str">
        <x:v>청국장이야기</x:v>
      </x:c>
      <x:c r="D436" s="17" t="str">
        <x:v>음식점&gt;한식</x:v>
      </x:c>
      <x:c r="E436" s="19" t="n">
        <x:v>54</x:v>
      </x:c>
      <x:c r="F436" s="17" t="str">
        <x:v>최근 12개월 블로그 100건</x:v>
      </x:c>
      <x:c r="G436" s="17" t="str">
        <x:v>대전광역시 중구 대사동 197-37 1층</x:v>
      </x:c>
      <x:c r="H436" s="17" t="str">
        <x:v>대전광역시 중구 보문산공원로497번길 61 1층</x:v>
      </x:c>
      <x:c r="I436" s="18" t="e">
        <x:f>HYPERLINK("https://search.naver.com/search.naver?where=blog&amp;query=%EC%B2%AD%EA%B5%AD%EC%9E%A5%EC%9D%B4%EC%95%BC%EA%B8%B0+%EC%A4%91%EA%B5%AC","블로그 보기")</x:f>
        <x:v>HYPERLINK is not implemented. linkLocation=https://search.naver.com/search.naver?where=blog&amp;query=%EC%B2%AD%EA%B5%AD%EC%9E%A5%EC%9D%B4%EC%95%BC%EA%B8%B0+%EC%A4%91%EA%B5%AC, friendlyName=블로그 보기</x:v>
      </x:c>
      <x:c r="J436" s="18" t="str"/>
      <x:c r="K436" s="18" t="str"/>
      <x:c r="L436" s="17" t="str"/>
      <x:c r="M436" s="20" t="n">
        <x:v>46223</x:v>
      </x:c>
      <x:c r="N436" s="21" t="n">
        <x:v>100</x:v>
      </x:c>
      <x:c r="O436" s="21" t="n">
        <x:v>98</x:v>
      </x:c>
      <x:c r="P436" s="21" t="n">
        <x:v>2158</x:v>
      </x:c>
      <x:c r="Q436" s="21" t="n">
        <x:v>1</x:v>
      </x:c>
      <x:c r="R436" s="21" t="n">
        <x:v>0</x:v>
      </x:c>
      <x:c r="S436" s="17" t="str">
        <x:v>보문산 한식</x:v>
      </x:c>
      <x:c r="T436" s="22" t="n">
        <x:v>36.3114491</x:v>
      </x:c>
      <x:c r="U436" s="22" t="n">
        <x:v>127.4197305</x:v>
      </x:c>
    </x:row>
    <x:row r="437" ht="32" customHeight="1">
      <x:c r="A437" s="18" t="str">
        <x:v>pending</x:v>
      </x:c>
      <x:c r="B437" s="18" t="str">
        <x:v>중구</x:v>
      </x:c>
      <x:c r="C437" s="17" t="str">
        <x:v>한민순대</x:v>
      </x:c>
      <x:c r="D437" s="17" t="str">
        <x:v>한식&gt;순대,순댓국</x:v>
      </x:c>
      <x:c r="E437" s="19" t="n">
        <x:v>53</x:v>
      </x:c>
      <x:c r="F437" s="17" t="str">
        <x:v>최근 12개월 블로그 41건</x:v>
      </x:c>
      <x:c r="G437" s="17" t="str">
        <x:v>대전광역시 중구 문창동 367-15</x:v>
      </x:c>
      <x:c r="H437" s="17" t="str">
        <x:v>대전광역시 중구 대전천서로 271</x:v>
      </x:c>
      <x:c r="I437" s="18" t="e">
        <x:f>HYPERLINK("https://search.naver.com/search.naver?where=blog&amp;query=%ED%95%9C%EB%AF%BC%EC%88%9C%EB%8C%80+%EC%A4%91%EA%B5%AC","블로그 보기")</x:f>
        <x:v>HYPERLINK is not implemented. linkLocation=https://search.naver.com/search.naver?where=blog&amp;query=%ED%95%9C%EB%AF%BC%EC%88%9C%EB%8C%80+%EC%A4%91%EA%B5%AC, friendlyName=블로그 보기</x:v>
      </x:c>
      <x:c r="J437" s="18" t="str"/>
      <x:c r="K437" s="18" t="str"/>
      <x:c r="L437" s="17" t="str"/>
      <x:c r="M437" s="20" t="n">
        <x:v>46219</x:v>
      </x:c>
      <x:c r="N437" s="21" t="n">
        <x:v>41</x:v>
      </x:c>
      <x:c r="O437" s="21" t="n">
        <x:v>79</x:v>
      </x:c>
      <x:c r="P437" s="21" t="n">
        <x:v>168</x:v>
      </x:c>
      <x:c r="Q437" s="21" t="n">
        <x:v>1</x:v>
      </x:c>
      <x:c r="R437" s="21" t="n">
        <x:v>1</x:v>
      </x:c>
      <x:c r="S437" s="17" t="str">
        <x:v>보문산 국밥</x:v>
      </x:c>
      <x:c r="T437" s="22" t="n">
        <x:v>36.3149824</x:v>
      </x:c>
      <x:c r="U437" s="22" t="n">
        <x:v>127.438726</x:v>
      </x:c>
    </x:row>
    <x:row r="438" ht="32" customHeight="1">
      <x:c r="A438" s="18" t="str">
        <x:v>pending</x:v>
      </x:c>
      <x:c r="B438" s="18" t="str">
        <x:v>중구</x:v>
      </x:c>
      <x:c r="C438" s="17" t="str">
        <x:v>강변산닭 본점</x:v>
      </x:c>
      <x:c r="D438" s="17" t="str">
        <x:v>음식점&gt;한식</x:v>
      </x:c>
      <x:c r="E438" s="19" t="n">
        <x:v>52</x:v>
      </x:c>
      <x:c r="F438" s="17" t="str">
        <x:v>지역성: 본점; 최근 12개월 블로그 7건</x:v>
      </x:c>
      <x:c r="G438" s="17" t="str">
        <x:v>대전광역시 중구 대흥동 469-2</x:v>
      </x:c>
      <x:c r="H438" s="17" t="str">
        <x:v>대전광역시 중구 보문로260번길 8</x:v>
      </x:c>
      <x:c r="I438" s="18" t="e">
        <x:f>HYPERLINK("https://search.naver.com/search.naver?where=blog&amp;query=%EA%B0%95%EB%B3%80%EC%82%B0%EB%8B%AD+%EB%B3%B8%EC%A0%90+%EC%A4%91%EA%B5%AC","블로그 보기")</x:f>
        <x:v>HYPERLINK is not implemented. linkLocation=https://search.naver.com/search.naver?where=blog&amp;query=%EA%B0%95%EB%B3%80%EC%82%B0%EB%8B%AD+%EB%B3%B8%EC%A0%90+%EC%A4%91%EA%B5%AC, friendlyName=블로그 보기</x:v>
      </x:c>
      <x:c r="J438" s="18" t="str"/>
      <x:c r="K438" s="18" t="str"/>
      <x:c r="L438" s="17" t="str"/>
      <x:c r="M438" s="20" t="n">
        <x:v>45918</x:v>
      </x:c>
      <x:c r="N438" s="21" t="n">
        <x:v>7</x:v>
      </x:c>
      <x:c r="O438" s="21" t="n">
        <x:v>20</x:v>
      </x:c>
      <x:c r="P438" s="21" t="n">
        <x:v>25</x:v>
      </x:c>
      <x:c r="Q438" s="21" t="n">
        <x:v>1</x:v>
      </x:c>
      <x:c r="R438" s="21" t="n">
        <x:v>0</x:v>
      </x:c>
      <x:c r="S438" s="17" t="str">
        <x:v>보문산 삼계탕</x:v>
      </x:c>
      <x:c r="T438" s="22" t="n">
        <x:v>36.3257907</x:v>
      </x:c>
      <x:c r="U438" s="22" t="n">
        <x:v>127.4225153</x:v>
      </x:c>
    </x:row>
    <x:row r="439" ht="32" customHeight="1">
      <x:c r="A439" s="18" t="str">
        <x:v>pending</x:v>
      </x:c>
      <x:c r="B439" s="18" t="str">
        <x:v>중구</x:v>
      </x:c>
      <x:c r="C439" s="17" t="str">
        <x:v>고덕갈비</x:v>
      </x:c>
      <x:c r="D439" s="17" t="str">
        <x:v>한식&gt;육류,고기요리</x:v>
      </x:c>
      <x:c r="E439" s="19" t="n">
        <x:v>52</x:v>
      </x:c>
      <x:c r="F439" s="17" t="str">
        <x:v>최근 12개월 블로그 95건</x:v>
      </x:c>
      <x:c r="G439" s="17" t="str">
        <x:v>대전광역시 중구 문화동 542-1</x:v>
      </x:c>
      <x:c r="H439" s="17" t="str">
        <x:v>대전광역시 중구 보문산로 213</x:v>
      </x:c>
      <x:c r="I439" s="18" t="e">
        <x:f>HYPERLINK("https://search.naver.com/search.naver?where=blog&amp;query=%EA%B3%A0%EB%8D%95%EA%B0%88%EB%B9%84+%EC%A4%91%EA%B5%AC","블로그 보기")</x:f>
        <x:v>HYPERLINK is not implemented. linkLocation=https://search.naver.com/search.naver?where=blog&amp;query=%EA%B3%A0%EB%8D%95%EA%B0%88%EB%B9%84+%EC%A4%91%EA%B5%AC, friendlyName=블로그 보기</x:v>
      </x:c>
      <x:c r="J439" s="18" t="str"/>
      <x:c r="K439" s="18" t="str"/>
      <x:c r="L439" s="17" t="str"/>
      <x:c r="M439" s="20" t="n">
        <x:v>46215</x:v>
      </x:c>
      <x:c r="N439" s="21" t="n">
        <x:v>95</x:v>
      </x:c>
      <x:c r="O439" s="21" t="n">
        <x:v>78</x:v>
      </x:c>
      <x:c r="P439" s="21" t="n">
        <x:v>556</x:v>
      </x:c>
      <x:c r="Q439" s="21" t="n">
        <x:v>1</x:v>
      </x:c>
      <x:c r="R439" s="21" t="n">
        <x:v>0</x:v>
      </x:c>
      <x:c r="S439" s="17" t="str">
        <x:v>보문산 고기</x:v>
      </x:c>
      <x:c r="T439" s="22" t="n">
        <x:v>36.3061766</x:v>
      </x:c>
      <x:c r="U439" s="22" t="n">
        <x:v>127.4040951</x:v>
      </x:c>
    </x:row>
    <x:row r="440" ht="32" customHeight="1">
      <x:c r="A440" s="18" t="str">
        <x:v>pending</x:v>
      </x:c>
      <x:c r="B440" s="18" t="str">
        <x:v>중구</x:v>
      </x:c>
      <x:c r="C440" s="17" t="str">
        <x:v>문화손만두</x:v>
      </x:c>
      <x:c r="D440" s="17" t="str">
        <x:v>분식&gt;만두</x:v>
      </x:c>
      <x:c r="E440" s="19" t="n">
        <x:v>52</x:v>
      </x:c>
      <x:c r="F440" s="17" t="str">
        <x:v>최근 12개월 블로그 100건</x:v>
      </x:c>
      <x:c r="G440" s="17" t="str">
        <x:v>대전광역시 중구 문화동 125-4 용정빌라 1층</x:v>
      </x:c>
      <x:c r="H440" s="17" t="str">
        <x:v>대전광역시 중구 과례로 28 용정빌라 1층</x:v>
      </x:c>
      <x:c r="I440" s="18" t="e">
        <x:f>HYPERLINK("https://search.naver.com/search.naver?where=blog&amp;query=%EB%AC%B8%ED%99%94%EC%86%90%EB%A7%8C%EB%91%90+%EC%A4%91%EA%B5%AC","블로그 보기")</x:f>
        <x:v>HYPERLINK is not implemented. linkLocation=https://search.naver.com/search.naver?where=blog&amp;query=%EB%AC%B8%ED%99%94%EC%86%90%EB%A7%8C%EB%91%90+%EC%A4%91%EA%B5%AC, friendlyName=블로그 보기</x:v>
      </x:c>
      <x:c r="J440" s="18" t="str"/>
      <x:c r="K440" s="18" t="str"/>
      <x:c r="L440" s="17" t="str"/>
      <x:c r="M440" s="20" t="n">
        <x:v>46220</x:v>
      </x:c>
      <x:c r="N440" s="21" t="n">
        <x:v>100</x:v>
      </x:c>
      <x:c r="O440" s="21" t="n">
        <x:v>99</x:v>
      </x:c>
      <x:c r="P440" s="21" t="n">
        <x:v>960</x:v>
      </x:c>
      <x:c r="Q440" s="21" t="n">
        <x:v>1</x:v>
      </x:c>
      <x:c r="R440" s="21" t="n">
        <x:v>0</x:v>
      </x:c>
      <x:c r="S440" s="17" t="str">
        <x:v>보문산 분식</x:v>
      </x:c>
      <x:c r="T440" s="22" t="n">
        <x:v>36.3110206</x:v>
      </x:c>
      <x:c r="U440" s="22" t="n">
        <x:v>127.4106566</x:v>
      </x:c>
    </x:row>
    <x:row r="441" ht="32" customHeight="1">
      <x:c r="A441" s="18" t="str">
        <x:v>pending</x:v>
      </x:c>
      <x:c r="B441" s="18" t="str">
        <x:v>중구</x:v>
      </x:c>
      <x:c r="C441" s="17" t="str">
        <x:v>돈태일</x:v>
      </x:c>
      <x:c r="D441" s="17" t="str">
        <x:v>음식점&gt;일식&gt;돈가스</x:v>
      </x:c>
      <x:c r="E441" s="19" t="n">
        <x:v>51</x:v>
      </x:c>
      <x:c r="F441" s="17" t="str">
        <x:v>최근 12개월 블로그 32건</x:v>
      </x:c>
      <x:c r="G441" s="17" t="str">
        <x:v>대전광역시 중구 문창동 373-3 1층</x:v>
      </x:c>
      <x:c r="H441" s="17" t="str">
        <x:v>대전광역시 중구 대종로296번길 17 1층</x:v>
      </x:c>
      <x:c r="I441" s="18" t="e">
        <x:f>HYPERLINK("https://search.naver.com/search.naver?where=blog&amp;query=%EB%8F%88%ED%83%9C%EC%9D%BC+%EC%A4%91%EA%B5%AC","블로그 보기")</x:f>
        <x:v>HYPERLINK is not implemented. linkLocation=https://search.naver.com/search.naver?where=blog&amp;query=%EB%8F%88%ED%83%9C%EC%9D%BC+%EC%A4%91%EA%B5%AC, friendlyName=블로그 보기</x:v>
      </x:c>
      <x:c r="J441" s="18" t="e">
        <x:f>HYPERLINK("https://www.instagram.com/don_tail","업체 보기")</x:f>
        <x:v>HYPERLINK is not implemented. linkLocation=https://www.instagram.com/don_tail, friendlyName=업체 보기</x:v>
      </x:c>
      <x:c r="K441" s="18" t="str"/>
      <x:c r="L441" s="17" t="str"/>
      <x:c r="M441" s="20" t="n">
        <x:v>46221</x:v>
      </x:c>
      <x:c r="N441" s="21" t="n">
        <x:v>32</x:v>
      </x:c>
      <x:c r="O441" s="21" t="n">
        <x:v>31</x:v>
      </x:c>
      <x:c r="P441" s="21" t="n">
        <x:v>32</x:v>
      </x:c>
      <x:c r="Q441" s="21" t="n">
        <x:v>1</x:v>
      </x:c>
      <x:c r="R441" s="21" t="n">
        <x:v>1</x:v>
      </x:c>
      <x:c r="S441" s="17" t="str">
        <x:v>보문산 일식</x:v>
      </x:c>
      <x:c r="T441" s="22" t="n">
        <x:v>36.3133229</x:v>
      </x:c>
      <x:c r="U441" s="22" t="n">
        <x:v>127.4365291</x:v>
      </x:c>
    </x:row>
    <x:row r="442" ht="32" customHeight="1">
      <x:c r="A442" s="18" t="str">
        <x:v>pending</x:v>
      </x:c>
      <x:c r="B442" s="18" t="str">
        <x:v>중구</x:v>
      </x:c>
      <x:c r="C442" s="17" t="str">
        <x:v>보문산쭈꾸미</x:v>
      </x:c>
      <x:c r="D442" s="17" t="str">
        <x:v>한식&gt;주꾸미요리</x:v>
      </x:c>
      <x:c r="E442" s="19" t="n">
        <x:v>51</x:v>
      </x:c>
      <x:c r="F442" s="17" t="str">
        <x:v>최근 12개월 블로그 100건</x:v>
      </x:c>
      <x:c r="G442" s="17" t="str">
        <x:v>대전광역시 중구 대사동 197-36 지하1층</x:v>
      </x:c>
      <x:c r="H442" s="17" t="str">
        <x:v>대전광역시 중구 보문산공원로497번길 126 지하1층</x:v>
      </x:c>
      <x:c r="I442" s="18" t="e">
        <x:f>HYPERLINK("https://search.naver.com/search.naver?where=blog&amp;query=%EB%B3%B4%EB%AC%B8%EC%82%B0%EC%AD%88%EA%BE%B8%EB%AF%B8+%EC%A4%91%EA%B5%AC","블로그 보기")</x:f>
        <x:v>HYPERLINK is not implemented. linkLocation=https://search.naver.com/search.naver?where=blog&amp;query=%EB%B3%B4%EB%AC%B8%EC%82%B0%EC%AD%88%EA%BE%B8%EB%AF%B8+%EC%A4%91%EA%B5%AC, friendlyName=블로그 보기</x:v>
      </x:c>
      <x:c r="J442" s="18" t="e">
        <x:f>HYPERLINK("https://www.instagram.com/bomunsan_jjukkumi?igsh=MXVuMWdoNml1N29iNw%3D%3D&amp;utm_source=qr","업체 보기")</x:f>
        <x:v>HYPERLINK is not implemented. linkLocation=https://www.instagram.com/bomunsan_jjukkumi?igsh=MXVuMWdoNml1N29iNw%3D%3D&amp;utm_source=qr, friendlyName=업체 보기</x:v>
      </x:c>
      <x:c r="K442" s="18" t="str"/>
      <x:c r="L442" s="17" t="str"/>
      <x:c r="M442" s="20" t="n">
        <x:v>46221</x:v>
      </x:c>
      <x:c r="N442" s="21" t="n">
        <x:v>100</x:v>
      </x:c>
      <x:c r="O442" s="21" t="n">
        <x:v>99</x:v>
      </x:c>
      <x:c r="P442" s="21" t="n">
        <x:v>376</x:v>
      </x:c>
      <x:c r="Q442" s="21" t="n">
        <x:v>1</x:v>
      </x:c>
      <x:c r="R442" s="21" t="n">
        <x:v>0</x:v>
      </x:c>
      <x:c r="S442" s="17" t="str">
        <x:v>보문산 해산물</x:v>
      </x:c>
      <x:c r="T442" s="22" t="n">
        <x:v>36.3087905</x:v>
      </x:c>
      <x:c r="U442" s="22" t="n">
        <x:v>127.4188029</x:v>
      </x:c>
    </x:row>
    <x:row r="443" ht="32" customHeight="1">
      <x:c r="A443" s="18" t="str">
        <x:v>pending</x:v>
      </x:c>
      <x:c r="B443" s="18" t="str">
        <x:v>중구</x:v>
      </x:c>
      <x:c r="C443" s="17" t="str">
        <x:v>소바노하나</x:v>
      </x:c>
      <x:c r="D443" s="17" t="str">
        <x:v>음식점&gt;일식&gt;우동,소바</x:v>
      </x:c>
      <x:c r="E443" s="19" t="n">
        <x:v>51</x:v>
      </x:c>
      <x:c r="F443" s="17" t="str">
        <x:v>최근 12개월 블로그 76건</x:v>
      </x:c>
      <x:c r="G443" s="17" t="str">
        <x:v>대전광역시 중구 문화동 1-9</x:v>
      </x:c>
      <x:c r="H443" s="17" t="str">
        <x:v>대전광역시 중구 중앙로 28</x:v>
      </x:c>
      <x:c r="I443" s="18" t="e">
        <x:f>HYPERLINK("https://search.naver.com/search.naver?where=blog&amp;query=%EC%86%8C%EB%B0%94%EB%85%B8%ED%95%98%EB%82%98+%EC%A4%91%EA%B5%AC","블로그 보기")</x:f>
        <x:v>HYPERLINK is not implemented. linkLocation=https://search.naver.com/search.naver?where=blog&amp;query=%EC%86%8C%EB%B0%94%EB%85%B8%ED%95%98%EB%82%98+%EC%A4%91%EA%B5%AC, friendlyName=블로그 보기</x:v>
      </x:c>
      <x:c r="J443" s="18" t="str"/>
      <x:c r="K443" s="18" t="str"/>
      <x:c r="L443" s="17" t="str"/>
      <x:c r="M443" s="20" t="n">
        <x:v>46221</x:v>
      </x:c>
      <x:c r="N443" s="21" t="n">
        <x:v>76</x:v>
      </x:c>
      <x:c r="O443" s="21" t="n">
        <x:v>88</x:v>
      </x:c>
      <x:c r="P443" s="21" t="n">
        <x:v>391</x:v>
      </x:c>
      <x:c r="Q443" s="21" t="n">
        <x:v>1</x:v>
      </x:c>
      <x:c r="R443" s="21" t="n">
        <x:v>0</x:v>
      </x:c>
      <x:c r="S443" s="17" t="str">
        <x:v>보문산 일식</x:v>
      </x:c>
      <x:c r="T443" s="22" t="n">
        <x:v>36.3224965</x:v>
      </x:c>
      <x:c r="U443" s="22" t="n">
        <x:v>127.4155697</x:v>
      </x:c>
    </x:row>
    <x:row r="444" ht="32" customHeight="1">
      <x:c r="A444" s="18" t="str">
        <x:v>pending</x:v>
      </x:c>
      <x:c r="B444" s="18" t="str">
        <x:v>중구</x:v>
      </x:c>
      <x:c r="C444" s="17" t="str">
        <x:v>청석골칡냉면</x:v>
      </x:c>
      <x:c r="D444" s="17" t="str">
        <x:v>한식&gt;냉면</x:v>
      </x:c>
      <x:c r="E444" s="19" t="n">
        <x:v>51</x:v>
      </x:c>
      <x:c r="F444" s="17" t="str">
        <x:v>최근 12개월 블로그 56건</x:v>
      </x:c>
      <x:c r="G444" s="17" t="str">
        <x:v>대전광역시 중구 산성동 334-8 대전광역시 중구 334~8번지</x:v>
      </x:c>
      <x:c r="H444" s="17" t="str">
        <x:v>대전광역시 중구 보문산로141번길 39 대전광역시 중구 산성동 334~8번지</x:v>
      </x:c>
      <x:c r="I444" s="18" t="e">
        <x:f>HYPERLINK("https://search.naver.com/search.naver?where=blog&amp;query=%EC%B2%AD%EC%84%9D%EA%B3%A8%EC%B9%A1%EB%83%89%EB%A9%B4+%EC%82%B0%EC%84%B1%EB%8F%99","블로그 보기")</x:f>
        <x:v>HYPERLINK is not implemented. linkLocation=https://search.naver.com/search.naver?where=blog&amp;query=%EC%B2%AD%EC%84%9D%EA%B3%A8%EC%B9%A1%EB%83%89%EB%A9%B4+%EC%82%B0%EC%84%B1%EB%8F%99, friendlyName=블로그 보기</x:v>
      </x:c>
      <x:c r="J444" s="18" t="str"/>
      <x:c r="K444" s="18" t="str"/>
      <x:c r="L444" s="17" t="str"/>
      <x:c r="M444" s="20" t="n">
        <x:v>46221</x:v>
      </x:c>
      <x:c r="N444" s="21" t="n">
        <x:v>56</x:v>
      </x:c>
      <x:c r="O444" s="21" t="n">
        <x:v>99</x:v>
      </x:c>
      <x:c r="P444" s="21" t="n">
        <x:v>367</x:v>
      </x:c>
      <x:c r="Q444" s="21" t="n">
        <x:v>1</x:v>
      </x:c>
      <x:c r="R444" s="21" t="n">
        <x:v>0</x:v>
      </x:c>
      <x:c r="S444" s="17" t="str">
        <x:v>보문산 냉면</x:v>
      </x:c>
      <x:c r="T444" s="22" t="n">
        <x:v>36.306997</x:v>
      </x:c>
      <x:c r="U444" s="22" t="n">
        <x:v>127.3952459</x:v>
      </x:c>
    </x:row>
    <x:row r="445" ht="32" customHeight="1">
      <x:c r="A445" s="18" t="str">
        <x:v>pending</x:v>
      </x:c>
      <x:c r="B445" s="18" t="str">
        <x:v>중구</x:v>
      </x:c>
      <x:c r="C445" s="17" t="str">
        <x:v>파도상회</x:v>
      </x:c>
      <x:c r="D445" s="17" t="str">
        <x:v>술집&gt;요리주점</x:v>
      </x:c>
      <x:c r="E445" s="19" t="n">
        <x:v>51</x:v>
      </x:c>
      <x:c r="F445" s="17" t="str">
        <x:v>최근 12개월 블로그 100건</x:v>
      </x:c>
      <x:c r="G445" s="17" t="str">
        <x:v>대전광역시 중구 대흥동 480-3 1층</x:v>
      </x:c>
      <x:c r="H445" s="17" t="str">
        <x:v>대전광역시 중구 보문로260번길 17 1층</x:v>
      </x:c>
      <x:c r="I445" s="18" t="e">
        <x:f>HYPERLINK("https://search.naver.com/search.naver?where=blog&amp;query=%ED%8C%8C%EB%8F%84%EC%83%81%ED%9A%8C+%EC%A4%91%EA%B5%AC","블로그 보기")</x:f>
        <x:v>HYPERLINK is not implemented. linkLocation=https://search.naver.com/search.naver?where=blog&amp;query=%ED%8C%8C%EB%8F%84%EC%83%81%ED%9A%8C+%EC%A4%91%EA%B5%AC, friendlyName=블로그 보기</x:v>
      </x:c>
      <x:c r="J445" s="18" t="e">
        <x:f>HYPERLINK("https://www.instagram.com/pado_sojubar?igsh=eW9yZzhnY2tiY3Js","업체 보기")</x:f>
        <x:v>HYPERLINK is not implemented. linkLocation=https://www.instagram.com/pado_sojubar?igsh=eW9yZzhnY2tiY3Js, friendlyName=업체 보기</x:v>
      </x:c>
      <x:c r="K445" s="18" t="str"/>
      <x:c r="L445" s="17" t="str"/>
      <x:c r="M445" s="20" t="n">
        <x:v>46221</x:v>
      </x:c>
      <x:c r="N445" s="21" t="n">
        <x:v>100</x:v>
      </x:c>
      <x:c r="O445" s="21" t="n">
        <x:v>99</x:v>
      </x:c>
      <x:c r="P445" s="21" t="n">
        <x:v>454</x:v>
      </x:c>
      <x:c r="Q445" s="21" t="n">
        <x:v>1</x:v>
      </x:c>
      <x:c r="R445" s="21" t="n">
        <x:v>0</x:v>
      </x:c>
      <x:c r="S445" s="17" t="str">
        <x:v>보문산 해산물</x:v>
      </x:c>
      <x:c r="T445" s="22" t="n">
        <x:v>36.326165</x:v>
      </x:c>
      <x:c r="U445" s="22" t="n">
        <x:v>127.423059</x:v>
      </x:c>
    </x:row>
    <x:row r="446" ht="32" customHeight="1">
      <x:c r="A446" s="18" t="str">
        <x:v>pending</x:v>
      </x:c>
      <x:c r="B446" s="18" t="str">
        <x:v>중구</x:v>
      </x:c>
      <x:c r="C446" s="17" t="str">
        <x:v>도어블</x:v>
      </x:c>
      <x:c r="D446" s="17" t="str">
        <x:v>중식&gt;중식당</x:v>
      </x:c>
      <x:c r="E446" s="19" t="n">
        <x:v>50</x:v>
      </x:c>
      <x:c r="F446" s="17" t="str">
        <x:v>최근 12개월 블로그 35건</x:v>
      </x:c>
      <x:c r="G446" s="17" t="str">
        <x:v>대전광역시 중구 대흥동 446-8 1층</x:v>
      </x:c>
      <x:c r="H446" s="17" t="str">
        <x:v>대전광역시 중구 대흥로 117 1층</x:v>
      </x:c>
      <x:c r="I446" s="18" t="e">
        <x:f>HYPERLINK("https://search.naver.com/search.naver?where=blog&amp;query=%EB%8F%84%EC%96%B4%EB%B8%94+%EC%A4%91%EA%B5%AC","블로그 보기")</x:f>
        <x:v>HYPERLINK is not implemented. linkLocation=https://search.naver.com/search.naver?where=blog&amp;query=%EB%8F%84%EC%96%B4%EB%B8%94+%EC%A4%91%EA%B5%AC, friendlyName=블로그 보기</x:v>
      </x:c>
      <x:c r="J446" s="18" t="e">
        <x:f>HYPERLINK("https://www.instagram.com/doable_8","업체 보기")</x:f>
        <x:v>HYPERLINK is not implemented. linkLocation=https://www.instagram.com/doable_8, friendlyName=업체 보기</x:v>
      </x:c>
      <x:c r="K446" s="18" t="str"/>
      <x:c r="L446" s="17" t="str"/>
      <x:c r="M446" s="20" t="n">
        <x:v>46221</x:v>
      </x:c>
      <x:c r="N446" s="21" t="n">
        <x:v>35</x:v>
      </x:c>
      <x:c r="O446" s="21" t="n">
        <x:v>95</x:v>
      </x:c>
      <x:c r="P446" s="21" t="n">
        <x:v>156</x:v>
      </x:c>
      <x:c r="Q446" s="21" t="n">
        <x:v>1</x:v>
      </x:c>
      <x:c r="R446" s="21" t="n">
        <x:v>0</x:v>
      </x:c>
      <x:c r="S446" s="17" t="str">
        <x:v>보문산 중식</x:v>
      </x:c>
      <x:c r="T446" s="22" t="n">
        <x:v>36.32354</x:v>
      </x:c>
      <x:c r="U446" s="22" t="n">
        <x:v>127.4252268</x:v>
      </x:c>
    </x:row>
    <x:row r="447" ht="32" customHeight="1">
      <x:c r="A447" s="18" t="str">
        <x:v>pending</x:v>
      </x:c>
      <x:c r="B447" s="18" t="str">
        <x:v>중구</x:v>
      </x:c>
      <x:c r="C447" s="17" t="str">
        <x:v>라이라이 중식당</x:v>
      </x:c>
      <x:c r="D447" s="17" t="str">
        <x:v>중식&gt;중식당</x:v>
      </x:c>
      <x:c r="E447" s="19" t="n">
        <x:v>49</x:v>
      </x:c>
      <x:c r="F447" s="17" t="str">
        <x:v>최근 12개월 블로그 7건</x:v>
      </x:c>
      <x:c r="G447" s="17" t="str">
        <x:v>대전광역시 중구 문창동 388-3</x:v>
      </x:c>
      <x:c r="H447" s="17" t="str">
        <x:v>대전광역시 중구 대전천서로 249-1</x:v>
      </x:c>
      <x:c r="I447" s="18" t="e">
        <x:f>HYPERLINK("https://search.naver.com/search.naver?where=blog&amp;query=%EB%9D%BC%EC%9D%B4%EB%9D%BC%EC%9D%B4+%EC%A4%91%EC%8B%9D%EB%8B%B9+%EC%A4%91%EA%B5%AC","블로그 보기")</x:f>
        <x:v>HYPERLINK is not implemented. linkLocation=https://search.naver.com/search.naver?where=blog&amp;query=%EB%9D%BC%EC%9D%B4%EB%9D%BC%EC%9D%B4+%EC%A4%91%EC%8B%9D%EB%8B%B9+%EC%A4%91%EA%B5%AC, friendlyName=블로그 보기</x:v>
      </x:c>
      <x:c r="J447" s="18" t="e">
        <x:f>HYPERLINK("https://blog.naver.com/minsunki119","업체 보기")</x:f>
        <x:v>HYPERLINK is not implemented. linkLocation=https://blog.naver.com/minsunki119, friendlyName=업체 보기</x:v>
      </x:c>
      <x:c r="K447" s="18" t="str"/>
      <x:c r="L447" s="17" t="str"/>
      <x:c r="M447" s="20" t="n">
        <x:v>46188</x:v>
      </x:c>
      <x:c r="N447" s="21" t="n">
        <x:v>7</x:v>
      </x:c>
      <x:c r="O447" s="21" t="n">
        <x:v>19</x:v>
      </x:c>
      <x:c r="P447" s="21" t="n">
        <x:v>20</x:v>
      </x:c>
      <x:c r="Q447" s="21" t="n">
        <x:v>1</x:v>
      </x:c>
      <x:c r="R447" s="21" t="n">
        <x:v>1</x:v>
      </x:c>
      <x:c r="S447" s="17" t="str">
        <x:v>보문산 중식</x:v>
      </x:c>
      <x:c r="T447" s="22" t="n">
        <x:v>36.3131271</x:v>
      </x:c>
      <x:c r="U447" s="22" t="n">
        <x:v>127.4395163</x:v>
      </x:c>
    </x:row>
    <x:row r="448" ht="32" customHeight="1">
      <x:c r="A448" s="18" t="str">
        <x:v>pending</x:v>
      </x:c>
      <x:c r="B448" s="18" t="str">
        <x:v>중구</x:v>
      </x:c>
      <x:c r="C448" s="17" t="str">
        <x:v>릴레이분식</x:v>
      </x:c>
      <x:c r="D448" s="17" t="str">
        <x:v>분식&gt;종합분식</x:v>
      </x:c>
      <x:c r="E448" s="19" t="n">
        <x:v>49</x:v>
      </x:c>
      <x:c r="F448" s="17" t="str">
        <x:v>최근 12개월 블로그 23건</x:v>
      </x:c>
      <x:c r="G448" s="17" t="str">
        <x:v>대전광역시 중구 대사동 248-485 1층 103호</x:v>
      </x:c>
      <x:c r="H448" s="17" t="str">
        <x:v>대전광역시 중구 계룡로 937 1층 103호</x:v>
      </x:c>
      <x:c r="I448" s="18" t="e">
        <x:f>HYPERLINK("https://search.naver.com/search.naver?where=blog&amp;query=%EB%A6%B4%EB%A0%88%EC%9D%B4%EB%B6%84%EC%8B%9D+%EC%A4%91%EA%B5%AC","블로그 보기")</x:f>
        <x:v>HYPERLINK is not implemented. linkLocation=https://search.naver.com/search.naver?where=blog&amp;query=%EB%A6%B4%EB%A0%88%EC%9D%B4%EB%B6%84%EC%8B%9D+%EC%A4%91%EA%B5%AC, friendlyName=블로그 보기</x:v>
      </x:c>
      <x:c r="J448" s="18" t="str"/>
      <x:c r="K448" s="18" t="str"/>
      <x:c r="L448" s="17" t="str"/>
      <x:c r="M448" s="20" t="n">
        <x:v>46188</x:v>
      </x:c>
      <x:c r="N448" s="21" t="n">
        <x:v>23</x:v>
      </x:c>
      <x:c r="O448" s="21" t="n">
        <x:v>68</x:v>
      </x:c>
      <x:c r="P448" s="21" t="n">
        <x:v>71</x:v>
      </x:c>
      <x:c r="Q448" s="21" t="n">
        <x:v>1</x:v>
      </x:c>
      <x:c r="R448" s="21" t="n">
        <x:v>0</x:v>
      </x:c>
      <x:c r="S448" s="17" t="str">
        <x:v>보문산 분식</x:v>
      </x:c>
      <x:c r="T448" s="22" t="n">
        <x:v>36.3194612</x:v>
      </x:c>
      <x:c r="U448" s="22" t="n">
        <x:v>127.4165186</x:v>
      </x:c>
    </x:row>
    <x:row r="449" ht="32" customHeight="1">
      <x:c r="A449" s="18" t="str">
        <x:v>pending</x:v>
      </x:c>
      <x:c r="B449" s="18" t="str">
        <x:v>중구</x:v>
      </x:c>
      <x:c r="C449" s="17" t="str">
        <x:v>매일봄</x:v>
      </x:c>
      <x:c r="D449" s="17" t="str">
        <x:v>분식&gt;종합분식</x:v>
      </x:c>
      <x:c r="E449" s="19" t="n">
        <x:v>49</x:v>
      </x:c>
      <x:c r="F449" s="17" t="str">
        <x:v>최근 12개월 블로그 26건</x:v>
      </x:c>
      <x:c r="G449" s="17" t="str">
        <x:v>대전광역시 중구 대흥동 502-14 1층</x:v>
      </x:c>
      <x:c r="H449" s="17" t="str">
        <x:v>대전광역시 중구 선화서로 4 1층</x:v>
      </x:c>
      <x:c r="I449" s="18" t="e">
        <x:f>HYPERLINK("https://search.naver.com/search.naver?where=blog&amp;query=%EB%A7%A4%EC%9D%BC%EB%B4%84+%EC%A4%91%EA%B5%AC","블로그 보기")</x:f>
        <x:v>HYPERLINK is not implemented. linkLocation=https://search.naver.com/search.naver?where=blog&amp;query=%EB%A7%A4%EC%9D%BC%EB%B4%84+%EC%A4%91%EA%B5%AC, friendlyName=블로그 보기</x:v>
      </x:c>
      <x:c r="J449" s="18" t="str"/>
      <x:c r="K449" s="18" t="str"/>
      <x:c r="L449" s="17" t="str"/>
      <x:c r="M449" s="20" t="n">
        <x:v>46189</x:v>
      </x:c>
      <x:c r="N449" s="21" t="n">
        <x:v>26</x:v>
      </x:c>
      <x:c r="O449" s="21" t="n">
        <x:v>42</x:v>
      </x:c>
      <x:c r="P449" s="21" t="n">
        <x:v>48</x:v>
      </x:c>
      <x:c r="Q449" s="21" t="n">
        <x:v>1</x:v>
      </x:c>
      <x:c r="R449" s="21" t="n">
        <x:v>0</x:v>
      </x:c>
      <x:c r="S449" s="17" t="str">
        <x:v>보문산 분식</x:v>
      </x:c>
      <x:c r="T449" s="22" t="n">
        <x:v>36.324423</x:v>
      </x:c>
      <x:c r="U449" s="22" t="n">
        <x:v>127.4203083</x:v>
      </x:c>
    </x:row>
    <x:row r="450" ht="32" customHeight="1">
      <x:c r="A450" s="18" t="str">
        <x:v>pending</x:v>
      </x:c>
      <x:c r="B450" s="18" t="str">
        <x:v>중구</x:v>
      </x:c>
      <x:c r="C450" s="17" t="str">
        <x:v>해태관</x:v>
      </x:c>
      <x:c r="D450" s="17" t="str">
        <x:v>중식&gt;중식당</x:v>
      </x:c>
      <x:c r="E450" s="19" t="n">
        <x:v>49</x:v>
      </x:c>
      <x:c r="F450" s="17" t="str">
        <x:v>최근 12개월 블로그 79건</x:v>
      </x:c>
      <x:c r="G450" s="17" t="str">
        <x:v>대전광역시 중구 대흥동 458-1 1층 101호</x:v>
      </x:c>
      <x:c r="H450" s="17" t="str">
        <x:v>대전광역시 중구 대흥로121번길 43 1층 101호</x:v>
      </x:c>
      <x:c r="I450" s="18" t="e">
        <x:f>HYPERLINK("https://search.naver.com/search.naver?where=blog&amp;query=%ED%95%B4%ED%83%9C%EA%B4%80+%EC%A4%91%EA%B5%AC","블로그 보기")</x:f>
        <x:v>HYPERLINK is not implemented. linkLocation=https://search.naver.com/search.naver?where=blog&amp;query=%ED%95%B4%ED%83%9C%EA%B4%80+%EC%A4%91%EA%B5%AC, friendlyName=블로그 보기</x:v>
      </x:c>
      <x:c r="J450" s="18" t="e">
        <x:f>HYPERLINK("https://www.instagram.com/haetaegwan_daejeon","업체 보기")</x:f>
        <x:v>HYPERLINK is not implemented. linkLocation=https://www.instagram.com/haetaegwan_daejeon, friendlyName=업체 보기</x:v>
      </x:c>
      <x:c r="K450" s="18" t="str"/>
      <x:c r="L450" s="17" t="str"/>
      <x:c r="M450" s="20" t="n">
        <x:v>46216</x:v>
      </x:c>
      <x:c r="N450" s="21" t="n">
        <x:v>79</x:v>
      </x:c>
      <x:c r="O450" s="21" t="n">
        <x:v>70</x:v>
      </x:c>
      <x:c r="P450" s="21" t="n">
        <x:v>81</x:v>
      </x:c>
      <x:c r="Q450" s="21" t="n">
        <x:v>1</x:v>
      </x:c>
      <x:c r="R450" s="21" t="n">
        <x:v>0</x:v>
      </x:c>
      <x:c r="S450" s="17" t="str">
        <x:v>보문산 중식</x:v>
      </x:c>
      <x:c r="T450" s="22" t="n">
        <x:v>36.3254419</x:v>
      </x:c>
      <x:c r="U450" s="22" t="n">
        <x:v>127.4245083</x:v>
      </x:c>
    </x:row>
    <x:row r="451" ht="32" customHeight="1">
      <x:c r="A451" s="18" t="str">
        <x:v>pending</x:v>
      </x:c>
      <x:c r="B451" s="18" t="str">
        <x:v>중구</x:v>
      </x:c>
      <x:c r="C451" s="17" t="str">
        <x:v>1953서서갈비 부사직영점</x:v>
      </x:c>
      <x:c r="D451" s="17" t="str">
        <x:v>한식&gt;육류,고기요리</x:v>
      </x:c>
      <x:c r="E451" s="19" t="n">
        <x:v>48</x:v>
      </x:c>
      <x:c r="F451" s="17" t="str">
        <x:v>최근 12개월 블로그 30건</x:v>
      </x:c>
      <x:c r="G451" s="17" t="str">
        <x:v>대전광역시 중구 부사동 260-1 1층</x:v>
      </x:c>
      <x:c r="H451" s="17" t="str">
        <x:v>대전광역시 중구 대종로 275 1층</x:v>
      </x:c>
      <x:c r="I451" s="18" t="e">
        <x:f>HYPERLINK("https://search.naver.com/search.naver?where=blog&amp;query=1953%EC%84%9C%EC%84%9C%EA%B0%88%EB%B9%84+%EB%B6%80%EC%82%AC%EC%A7%81%EC%98%81%EC%A0%90+%EC%A4%91%EA%B5%AC","블로그 보기")</x:f>
        <x:v>HYPERLINK is not implemented. linkLocation=https://search.naver.com/search.naver?where=blog&amp;query=1953%EC%84%9C%EC%84%9C%EA%B0%88%EB%B9%84+%EB%B6%80%EC%82%AC%EC%A7%81%EC%98%81%EC%A0%90+%EC%A4%91%EA%B5%AC, friendlyName=블로그 보기</x:v>
      </x:c>
      <x:c r="J451" s="18" t="str"/>
      <x:c r="K451" s="18" t="str"/>
      <x:c r="L451" s="17" t="str"/>
      <x:c r="M451" s="20" t="n">
        <x:v>46178</x:v>
      </x:c>
      <x:c r="N451" s="21" t="n">
        <x:v>30</x:v>
      </x:c>
      <x:c r="O451" s="21" t="n">
        <x:v>20</x:v>
      </x:c>
      <x:c r="P451" s="21" t="n">
        <x:v>41</x:v>
      </x:c>
      <x:c r="Q451" s="21" t="n">
        <x:v>1</x:v>
      </x:c>
      <x:c r="R451" s="21" t="n">
        <x:v>0</x:v>
      </x:c>
      <x:c r="S451" s="17" t="str">
        <x:v>보문산 고기</x:v>
      </x:c>
      <x:c r="T451" s="22" t="n">
        <x:v>36.3115204</x:v>
      </x:c>
      <x:c r="U451" s="22" t="n">
        <x:v>127.4375509</x:v>
      </x:c>
    </x:row>
    <x:row r="452" ht="32" customHeight="1">
      <x:c r="A452" s="18" t="str">
        <x:v>pending</x:v>
      </x:c>
      <x:c r="B452" s="18" t="str">
        <x:v>중구</x:v>
      </x:c>
      <x:c r="C452" s="17" t="str">
        <x:v>마담이네애호박국밥</x:v>
      </x:c>
      <x:c r="D452" s="17" t="str">
        <x:v>한식&gt;국밥</x:v>
      </x:c>
      <x:c r="E452" s="19" t="n">
        <x:v>48</x:v>
      </x:c>
      <x:c r="F452" s="17" t="str">
        <x:v>최근 12개월 블로그 38건</x:v>
      </x:c>
      <x:c r="G452" s="17" t="str">
        <x:v>대전광역시 중구 대사동 75-6 B동</x:v>
      </x:c>
      <x:c r="H452" s="17" t="str">
        <x:v>대전광역시 중구 보문로 146-15 B동</x:v>
      </x:c>
      <x:c r="I452" s="18" t="e">
        <x:f>HYPERLINK("https://search.naver.com/search.naver?where=blog&amp;query=%EB%A7%88%EB%8B%B4%EC%9D%B4%EB%84%A4%EC%95%A0%ED%98%B8%EB%B0%95%EA%B5%AD%EB%B0%A5+%EC%A4%91%EA%B5%AC","블로그 보기")</x:f>
        <x:v>HYPERLINK is not implemented. linkLocation=https://search.naver.com/search.naver?where=blog&amp;query=%EB%A7%88%EB%8B%B4%EC%9D%B4%EB%84%A4%EC%95%A0%ED%98%B8%EB%B0%95%EA%B5%AD%EB%B0%A5+%EC%A4%91%EA%B5%AC, friendlyName=블로그 보기</x:v>
      </x:c>
      <x:c r="J452" s="18" t="str"/>
      <x:c r="K452" s="18" t="str"/>
      <x:c r="L452" s="17" t="str"/>
      <x:c r="M452" s="20" t="n">
        <x:v>46220</x:v>
      </x:c>
      <x:c r="N452" s="21" t="n">
        <x:v>38</x:v>
      </x:c>
      <x:c r="O452" s="21" t="n">
        <x:v>44</x:v>
      </x:c>
      <x:c r="P452" s="21" t="n">
        <x:v>44</x:v>
      </x:c>
      <x:c r="Q452" s="21" t="n">
        <x:v>1</x:v>
      </x:c>
      <x:c r="R452" s="21" t="n">
        <x:v>0</x:v>
      </x:c>
      <x:c r="S452" s="17" t="str">
        <x:v>보문산 국밥</x:v>
      </x:c>
      <x:c r="T452" s="22" t="n">
        <x:v>36.3167826</x:v>
      </x:c>
      <x:c r="U452" s="22" t="n">
        <x:v>127.4274961</x:v>
      </x:c>
    </x:row>
    <x:row r="453" ht="32" customHeight="1">
      <x:c r="A453" s="18" t="str">
        <x:v>pending</x:v>
      </x:c>
      <x:c r="B453" s="18" t="str">
        <x:v>중구</x:v>
      </x:c>
      <x:c r="C453" s="17" t="str">
        <x:v>선속초코다리냉면</x:v>
      </x:c>
      <x:c r="D453" s="17" t="str">
        <x:v>한식&gt;냉면</x:v>
      </x:c>
      <x:c r="E453" s="19" t="n">
        <x:v>48</x:v>
      </x:c>
      <x:c r="F453" s="17" t="str">
        <x:v>최근 12개월 블로그 10건</x:v>
      </x:c>
      <x:c r="G453" s="17" t="str">
        <x:v>대전광역시 중구 대사동 248-264 1층</x:v>
      </x:c>
      <x:c r="H453" s="17" t="str">
        <x:v>대전광역시 중구 대흥로 22 1층</x:v>
      </x:c>
      <x:c r="I453" s="18" t="e">
        <x:f>HYPERLINK("https://search.naver.com/search.naver?where=blog&amp;query=%EC%84%A0%EC%86%8D%EC%B4%88%EC%BD%94%EB%8B%A4%EB%A6%AC%EB%83%89%EB%A9%B4+%EC%A4%91%EA%B5%AC","블로그 보기")</x:f>
        <x:v>HYPERLINK is not implemented. linkLocation=https://search.naver.com/search.naver?where=blog&amp;query=%EC%84%A0%EC%86%8D%EC%B4%88%EC%BD%94%EB%8B%A4%EB%A6%AC%EB%83%89%EB%A9%B4+%EC%A4%91%EA%B5%AC, friendlyName=블로그 보기</x:v>
      </x:c>
      <x:c r="J453" s="18" t="str"/>
      <x:c r="K453" s="18" t="str"/>
      <x:c r="L453" s="17" t="str"/>
      <x:c r="M453" s="20" t="n">
        <x:v>46217</x:v>
      </x:c>
      <x:c r="N453" s="21" t="n">
        <x:v>10</x:v>
      </x:c>
      <x:c r="O453" s="21" t="n">
        <x:v>26</x:v>
      </x:c>
      <x:c r="P453" s="21" t="n">
        <x:v>40</x:v>
      </x:c>
      <x:c r="Q453" s="21" t="n">
        <x:v>1</x:v>
      </x:c>
      <x:c r="R453" s="21" t="n">
        <x:v>0</x:v>
      </x:c>
      <x:c r="S453" s="17" t="str">
        <x:v>보문산 냉면</x:v>
      </x:c>
      <x:c r="T453" s="22" t="n">
        <x:v>36.3218334</x:v>
      </x:c>
      <x:c r="U453" s="22" t="n">
        <x:v>127.4165952</x:v>
      </x:c>
    </x:row>
    <x:row r="454" ht="32" customHeight="1">
      <x:c r="A454" s="18" t="str">
        <x:v>pending</x:v>
      </x:c>
      <x:c r="B454" s="18" t="str">
        <x:v>중구</x:v>
      </x:c>
      <x:c r="C454" s="17" t="str">
        <x:v>이삭토스트 대전 문화점</x:v>
      </x:c>
      <x:c r="D454" s="17" t="str">
        <x:v>분식&gt;토스트</x:v>
      </x:c>
      <x:c r="E454" s="19" t="n">
        <x:v>44</x:v>
      </x:c>
      <x:c r="F454" s="17" t="str">
        <x:v>지역성: 대전; 최근 12개월 블로그 2건</x:v>
      </x:c>
      <x:c r="G454" s="17" t="str">
        <x:v>대전광역시 중구 문화동 372-16</x:v>
      </x:c>
      <x:c r="H454" s="17" t="str">
        <x:v>대전광역시 중구 문화로 173</x:v>
      </x:c>
      <x:c r="I454" s="18" t="e">
        <x:f>HYPERLINK("https://search.naver.com/search.naver?where=blog&amp;query=%EC%9D%B4%EC%82%AD%ED%86%A0%EC%8A%A4%ED%8A%B8+%EB%8C%80%EC%A0%84+%EB%AC%B8%ED%99%94%EC%A0%90+%EC%A4%91%EA%B5%AC","블로그 보기")</x:f>
        <x:v>HYPERLINK is not implemented. linkLocation=https://search.naver.com/search.naver?where=blog&amp;query=%EC%9D%B4%EC%82%AD%ED%86%A0%EC%8A%A4%ED%8A%B8+%EB%8C%80%EC%A0%84+%EB%AC%B8%ED%99%94%EC%A0%90+%EC%A4%91%EA%B5%AC, friendlyName=블로그 보기</x:v>
      </x:c>
      <x:c r="J454" s="18" t="e">
        <x:f>HYPERLINK("https://smartorder.beaverworksinc.com/brand/901216","업체 보기")</x:f>
        <x:v>HYPERLINK is not implemented. linkLocation=https://smartorder.beaverworksinc.com/brand/901216, friendlyName=업체 보기</x:v>
      </x:c>
      <x:c r="K454" s="18" t="str"/>
      <x:c r="L454" s="17" t="str"/>
      <x:c r="M454" s="20" t="n">
        <x:v>46163</x:v>
      </x:c>
      <x:c r="N454" s="21" t="n">
        <x:v>2</x:v>
      </x:c>
      <x:c r="O454" s="21" t="n">
        <x:v>10</x:v>
      </x:c>
      <x:c r="P454" s="21" t="n">
        <x:v>10</x:v>
      </x:c>
      <x:c r="Q454" s="21" t="n">
        <x:v>1</x:v>
      </x:c>
      <x:c r="R454" s="21" t="n">
        <x:v>1</x:v>
      </x:c>
      <x:c r="S454" s="17" t="str">
        <x:v>보문산 분식</x:v>
      </x:c>
      <x:c r="T454" s="22" t="n">
        <x:v>36.3145636</x:v>
      </x:c>
      <x:c r="U454" s="22" t="n">
        <x:v>127.4044199</x:v>
      </x:c>
    </x:row>
    <x:row r="455" ht="32" customHeight="1">
      <x:c r="A455" s="18" t="str">
        <x:v>pending</x:v>
      </x:c>
      <x:c r="B455" s="18" t="str">
        <x:v>중구</x:v>
      </x:c>
      <x:c r="C455" s="17" t="str">
        <x:v>황선영순대 본점</x:v>
      </x:c>
      <x:c r="D455" s="17" t="str">
        <x:v>음식점&gt;한식</x:v>
      </x:c>
      <x:c r="E455" s="19" t="n">
        <x:v>42</x:v>
      </x:c>
      <x:c r="F455" s="17" t="str">
        <x:v>지역성: 본점; 최근 12개월 블로그 3건</x:v>
      </x:c>
      <x:c r="G455" s="17" t="str">
        <x:v>대전광역시 중구 대사동 248-297 1층</x:v>
      </x:c>
      <x:c r="H455" s="17" t="str">
        <x:v>대전광역시 중구 계룡로 951 1층</x:v>
      </x:c>
      <x:c r="I455" s="18" t="e">
        <x:f>HYPERLINK("https://search.naver.com/search.naver?where=blog&amp;query=%ED%99%A9%EC%84%A0%EC%98%81%EC%88%9C%EB%8C%80+%EB%B3%B8%EC%A0%90+%EC%A4%91%EA%B5%AC","블로그 보기")</x:f>
        <x:v>HYPERLINK is not implemented. linkLocation=https://search.naver.com/search.naver?where=blog&amp;query=%ED%99%A9%EC%84%A0%EC%98%81%EC%88%9C%EB%8C%80+%EB%B3%B8%EC%A0%90+%EC%A4%91%EA%B5%AC, friendlyName=블로그 보기</x:v>
      </x:c>
      <x:c r="J455" s="18" t="str"/>
      <x:c r="K455" s="18" t="str"/>
      <x:c r="L455" s="17" t="str"/>
      <x:c r="M455" s="20" t="n">
        <x:v>46097</x:v>
      </x:c>
      <x:c r="N455" s="21" t="n">
        <x:v>3</x:v>
      </x:c>
      <x:c r="O455" s="21" t="n">
        <x:v>6</x:v>
      </x:c>
      <x:c r="P455" s="21" t="n">
        <x:v>6</x:v>
      </x:c>
      <x:c r="Q455" s="21" t="n">
        <x:v>2</x:v>
      </x:c>
      <x:c r="R455" s="21" t="n">
        <x:v>0</x:v>
      </x:c>
      <x:c r="S455" s="17" t="str">
        <x:v>보문산 국밥 | 보문산 냉면</x:v>
      </x:c>
      <x:c r="T455" s="22" t="n">
        <x:v>36.3186409</x:v>
      </x:c>
      <x:c r="U455" s="22" t="n">
        <x:v>127.4175225</x:v>
      </x:c>
    </x:row>
    <x:row r="456" ht="32" customHeight="1">
      <x:c r="A456" s="18" t="str">
        <x:v>pending</x:v>
      </x:c>
      <x:c r="B456" s="18" t="str">
        <x:v>중구</x:v>
      </x:c>
      <x:c r="C456" s="17" t="str">
        <x:v>성열식당</x:v>
      </x:c>
      <x:c r="D456" s="17" t="str">
        <x:v>한식&gt;국밥</x:v>
      </x:c>
      <x:c r="E456" s="19" t="n">
        <x:v>37</x:v>
      </x:c>
      <x:c r="F456" s="17" t="str">
        <x:v>최근 12개월 블로그 1건</x:v>
      </x:c>
      <x:c r="G456" s="17" t="str">
        <x:v>대전광역시 중구 문창동 367-10</x:v>
      </x:c>
      <x:c r="H456" s="17" t="str">
        <x:v>대전광역시 중구 문창로6번길 42</x:v>
      </x:c>
      <x:c r="I456" s="18" t="e">
        <x:f>HYPERLINK("https://search.naver.com/search.naver?where=blog&amp;query=%EC%84%B1%EC%97%B4%EC%8B%9D%EB%8B%B9+%EC%A4%91%EA%B5%AC","블로그 보기")</x:f>
        <x:v>HYPERLINK is not implemented. linkLocation=https://search.naver.com/search.naver?where=blog&amp;query=%EC%84%B1%EC%97%B4%EC%8B%9D%EB%8B%B9+%EC%A4%91%EA%B5%AC, friendlyName=블로그 보기</x:v>
      </x:c>
      <x:c r="J456" s="18" t="str"/>
      <x:c r="K456" s="18" t="str"/>
      <x:c r="L456" s="17" t="str"/>
      <x:c r="M456" s="20" t="n">
        <x:v>45951</x:v>
      </x:c>
      <x:c r="N456" s="21" t="n">
        <x:v>1</x:v>
      </x:c>
      <x:c r="O456" s="21" t="n">
        <x:v>12</x:v>
      </x:c>
      <x:c r="P456" s="21" t="n">
        <x:v>15</x:v>
      </x:c>
      <x:c r="Q456" s="21" t="n">
        <x:v>1</x:v>
      </x:c>
      <x:c r="R456" s="21" t="n">
        <x:v>1</x:v>
      </x:c>
      <x:c r="S456" s="17" t="str">
        <x:v>보문산 냉면</x:v>
      </x:c>
      <x:c r="T456" s="22" t="n">
        <x:v>36.3149633</x:v>
      </x:c>
      <x:c r="U456" s="22" t="n">
        <x:v>127.4384073</x:v>
      </x:c>
    </x:row>
    <x:row r="457" ht="32" customHeight="1">
      <x:c r="A457" s="18" t="str">
        <x:v>pending</x:v>
      </x:c>
      <x:c r="B457" s="18" t="str">
        <x:v>중구</x:v>
      </x:c>
      <x:c r="C457" s="17" t="str">
        <x:v>문창닭집</x:v>
      </x:c>
      <x:c r="D457" s="17" t="str">
        <x:v>한식&gt;백숙,삼계탕</x:v>
      </x:c>
      <x:c r="E457" s="19" t="n">
        <x:v>36</x:v>
      </x:c>
      <x:c r="F457" s="17" t="str">
        <x:v>최근 12개월 블로그 1건</x:v>
      </x:c>
      <x:c r="G457" s="17" t="str">
        <x:v>대전광역시 중구 문창동 363-4</x:v>
      </x:c>
      <x:c r="H457" s="17" t="str">
        <x:v>대전광역시 중구 문창로10번길 15</x:v>
      </x:c>
      <x:c r="I457" s="18" t="e">
        <x:f>HYPERLINK("https://search.naver.com/search.naver?where=blog&amp;query=%EB%AC%B8%EC%B0%BD%EB%8B%AD%EC%A7%91+%EC%A4%91%EA%B5%AC","블로그 보기")</x:f>
        <x:v>HYPERLINK is not implemented. linkLocation=https://search.naver.com/search.naver?where=blog&amp;query=%EB%AC%B8%EC%B0%BD%EB%8B%AD%EC%A7%91+%EC%A4%91%EA%B5%AC, friendlyName=블로그 보기</x:v>
      </x:c>
      <x:c r="J457" s="18" t="str"/>
      <x:c r="K457" s="18" t="str"/>
      <x:c r="L457" s="17" t="str"/>
      <x:c r="M457" s="20" t="n">
        <x:v>45974</x:v>
      </x:c>
      <x:c r="N457" s="21" t="n">
        <x:v>1</x:v>
      </x:c>
      <x:c r="O457" s="21" t="n">
        <x:v>9</x:v>
      </x:c>
      <x:c r="P457" s="21" t="n">
        <x:v>10</x:v>
      </x:c>
      <x:c r="Q457" s="21" t="n">
        <x:v>1</x:v>
      </x:c>
      <x:c r="R457" s="21" t="n">
        <x:v>1</x:v>
      </x:c>
      <x:c r="S457" s="17" t="str">
        <x:v>보문산 삼계탕</x:v>
      </x:c>
      <x:c r="T457" s="22" t="n">
        <x:v>36.3149308</x:v>
      </x:c>
      <x:c r="U457" s="22" t="n">
        <x:v>127.4368974</x:v>
      </x:c>
    </x:row>
    <x:row r="458" ht="32" customHeight="1">
      <x:c r="A458" s="18" t="str">
        <x:v>pending</x:v>
      </x:c>
      <x:c r="B458" s="18" t="str">
        <x:v>중구</x:v>
      </x:c>
      <x:c r="C458" s="17" t="str">
        <x:v>이삭토스트 대전부사점</x:v>
      </x:c>
      <x:c r="D458" s="17" t="str">
        <x:v>분식&gt;토스트</x:v>
      </x:c>
      <x:c r="E458" s="19" t="n">
        <x:v>36</x:v>
      </x:c>
      <x:c r="F458" s="17" t="str">
        <x:v>지역성: 대전</x:v>
      </x:c>
      <x:c r="G458" s="17" t="str">
        <x:v>대전광역시 중구 문창동 374-5</x:v>
      </x:c>
      <x:c r="H458" s="17" t="str">
        <x:v>대전광역시 중구 대종로 304</x:v>
      </x:c>
      <x:c r="I458" s="18" t="e">
        <x:f>HYPERLINK("https://search.naver.com/search.naver?where=blog&amp;query=%EC%9D%B4%EC%82%AD%ED%86%A0%EC%8A%A4%ED%8A%B8+%EB%8C%80%EC%A0%84%EB%B6%80%EC%82%AC%EC%A0%90+%EC%A4%91%EA%B5%AC","블로그 보기")</x:f>
        <x:v>HYPERLINK is not implemented. linkLocation=https://search.naver.com/search.naver?where=blog&amp;query=%EC%9D%B4%EC%82%AD%ED%86%A0%EC%8A%A4%ED%8A%B8+%EB%8C%80%EC%A0%84%EB%B6%80%EC%82%AC%EC%A0%90+%EC%A4%91%EA%B5%AC, friendlyName=블로그 보기</x:v>
      </x:c>
      <x:c r="J458" s="18" t="e">
        <x:f>HYPERLINK("https://smartorder.beaverworksinc.com/brand/901216","업체 보기")</x:f>
        <x:v>HYPERLINK is not implemented. linkLocation=https://smartorder.beaverworksinc.com/brand/901216, friendlyName=업체 보기</x:v>
      </x:c>
      <x:c r="K458" s="18" t="str"/>
      <x:c r="L458" s="17" t="str"/>
      <x:c r="M458" s="20" t="n">
        <x:v>44769</x:v>
      </x:c>
      <x:c r="N458" s="21" t="n">
        <x:v>0</x:v>
      </x:c>
      <x:c r="O458" s="21" t="n">
        <x:v>7</x:v>
      </x:c>
      <x:c r="P458" s="21" t="n">
        <x:v>8</x:v>
      </x:c>
      <x:c r="Q458" s="21" t="n">
        <x:v>1</x:v>
      </x:c>
      <x:c r="R458" s="21" t="n">
        <x:v>1</x:v>
      </x:c>
      <x:c r="S458" s="17" t="str">
        <x:v>보문산 분식</x:v>
      </x:c>
      <x:c r="T458" s="22" t="n">
        <x:v>36.3132145</x:v>
      </x:c>
      <x:c r="U458" s="22" t="n">
        <x:v>127.4354233</x:v>
      </x:c>
    </x:row>
    <x:row r="459" ht="32" customHeight="1">
      <x:c r="A459" s="18" t="str">
        <x:v>pending</x:v>
      </x:c>
      <x:c r="B459" s="18" t="str">
        <x:v>중구</x:v>
      </x:c>
      <x:c r="C459" s="17" t="str">
        <x:v>유끼</x:v>
      </x:c>
      <x:c r="D459" s="17" t="str">
        <x:v>음식점&gt;일식&gt;돈가스</x:v>
      </x:c>
      <x:c r="E459" s="19" t="n">
        <x:v>31</x:v>
      </x:c>
      <x:c r="F459" s="17" t="str">
        <x:v>최근 12개월 블로그 3건</x:v>
      </x:c>
      <x:c r="G459" s="17" t="str">
        <x:v>대전광역시 중구 대사동 198-14 1층 )</x:v>
      </x:c>
      <x:c r="H459" s="17" t="str">
        <x:v>대전광역시 중구 보문산공원로 469 1층 대사동)</x:v>
      </x:c>
      <x:c r="I459" s="18" t="e">
        <x:f>HYPERLINK("https://search.naver.com/search.naver?where=blog&amp;query=%EC%9C%A0%EB%81%BC+%EB%8C%80%EC%82%AC%EB%8F%99","블로그 보기")</x:f>
        <x:v>HYPERLINK is not implemented. linkLocation=https://search.naver.com/search.naver?where=blog&amp;query=%EC%9C%A0%EB%81%BC+%EB%8C%80%EC%82%AC%EB%8F%99, friendlyName=블로그 보기</x:v>
      </x:c>
      <x:c r="J459" s="18" t="str"/>
      <x:c r="K459" s="18" t="str"/>
      <x:c r="L459" s="17" t="str"/>
      <x:c r="M459" s="20" t="n">
        <x:v>46145</x:v>
      </x:c>
      <x:c r="N459" s="21" t="n">
        <x:v>3</x:v>
      </x:c>
      <x:c r="O459" s="21" t="n">
        <x:v>4</x:v>
      </x:c>
      <x:c r="P459" s="21" t="n">
        <x:v>7</x:v>
      </x:c>
      <x:c r="Q459" s="21" t="n">
        <x:v>1</x:v>
      </x:c>
      <x:c r="R459" s="21" t="n">
        <x:v>0</x:v>
      </x:c>
      <x:c r="S459" s="17" t="str">
        <x:v>보문산 일식</x:v>
      </x:c>
      <x:c r="T459" s="22" t="n">
        <x:v>36.3100574</x:v>
      </x:c>
      <x:c r="U459" s="22" t="n">
        <x:v>127.4209972</x:v>
      </x:c>
    </x:row>
    <x:row r="460" ht="32" customHeight="1">
      <x:c r="A460" s="18" t="str">
        <x:v>pending</x:v>
      </x:c>
      <x:c r="B460" s="18" t="str">
        <x:v>중구</x:v>
      </x:c>
      <x:c r="C460" s="17" t="str">
        <x:v>짜장왕왕서방</x:v>
      </x:c>
      <x:c r="D460" s="17" t="str">
        <x:v>중식&gt;중식당</x:v>
      </x:c>
      <x:c r="E460" s="19" t="n">
        <x:v>30</x:v>
      </x:c>
      <x:c r="F460" s="17" t="str">
        <x:v>최근 12개월 블로그 2건</x:v>
      </x:c>
      <x:c r="G460" s="17" t="str">
        <x:v>대전광역시 중구 부사동 129-8</x:v>
      </x:c>
      <x:c r="H460" s="17" t="str">
        <x:v>대전광역시 중구 대종로 311</x:v>
      </x:c>
      <x:c r="I460" s="18" t="e">
        <x:f>HYPERLINK("https://search.naver.com/search.naver?where=blog&amp;query=%EC%A7%9C%EC%9E%A5%EC%99%95%EC%99%95%EC%84%9C%EB%B0%A9+%EC%A4%91%EA%B5%AC","블로그 보기")</x:f>
        <x:v>HYPERLINK is not implemented. linkLocation=https://search.naver.com/search.naver?where=blog&amp;query=%EC%A7%9C%EC%9E%A5%EC%99%95%EC%99%95%EC%84%9C%EB%B0%A9+%EC%A4%91%EA%B5%AC, friendlyName=블로그 보기</x:v>
      </x:c>
      <x:c r="J460" s="18" t="str"/>
      <x:c r="K460" s="18" t="str"/>
      <x:c r="L460" s="17" t="str"/>
      <x:c r="M460" s="20" t="n">
        <x:v>46202</x:v>
      </x:c>
      <x:c r="N460" s="21" t="n">
        <x:v>2</x:v>
      </x:c>
      <x:c r="O460" s="21" t="n">
        <x:v>3</x:v>
      </x:c>
      <x:c r="P460" s="21" t="n">
        <x:v>3</x:v>
      </x:c>
      <x:c r="Q460" s="21" t="n">
        <x:v>1</x:v>
      </x:c>
      <x:c r="R460" s="21" t="n">
        <x:v>1</x:v>
      </x:c>
      <x:c r="S460" s="17" t="str">
        <x:v>보문산 중식</x:v>
      </x:c>
      <x:c r="T460" s="22" t="n">
        <x:v>36.3135859</x:v>
      </x:c>
      <x:c r="U460" s="22" t="n">
        <x:v>127.4343631</x:v>
      </x:c>
    </x:row>
    <x:row r="461" ht="32" customHeight="1">
      <x:c r="A461" s="18" t="str">
        <x:v>pending</x:v>
      </x:c>
      <x:c r="B461" s="18" t="str">
        <x:v>중구</x:v>
      </x:c>
      <x:c r="C461" s="17" t="str">
        <x:v>한촌설렁탕 충남대병원점</x:v>
      </x:c>
      <x:c r="D461" s="17" t="str">
        <x:v>한식&gt;곰탕,설렁탕</x:v>
      </x:c>
      <x:c r="E461" s="19" t="n">
        <x:v>19</x:v>
      </x:c>
      <x:c r="F461" s="17" t="str">
        <x:v>지역검색 후보</x:v>
      </x:c>
      <x:c r="G461" s="17" t="str">
        <x:v>대전광역시 중구 대사동 640 충남대병원 본관 지하1층</x:v>
      </x:c>
      <x:c r="H461" s="17" t="str">
        <x:v>대전광역시 중구 문화로 282 충남대병원 본관 지하1층</x:v>
      </x:c>
      <x:c r="I461" s="18" t="e">
        <x:f>HYPERLINK("https://search.naver.com/search.naver?where=blog&amp;query=%ED%95%9C%EC%B4%8C%EC%84%A4%EB%A0%81%ED%83%95+%EC%B6%A9%EB%82%A8%EB%8C%80%EB%B3%91%EC%9B%90%EC%A0%90+%EC%A4%91%EA%B5%AC","블로그 보기")</x:f>
        <x:v>HYPERLINK is not implemented. linkLocation=https://search.naver.com/search.naver?where=blog&amp;query=%ED%95%9C%EC%B4%8C%EC%84%A4%EB%A0%81%ED%83%95+%EC%B6%A9%EB%82%A8%EB%8C%80%EB%B3%91%EC%9B%90%EC%A0%90+%EC%A4%91%EA%B5%AC, friendlyName=블로그 보기</x:v>
      </x:c>
      <x:c r="J461" s="18" t="str"/>
      <x:c r="K461" s="18" t="str"/>
      <x:c r="L461" s="17" t="str"/>
      <x:c r="M461" s="20"/>
      <x:c r="N461" s="21" t="n">
        <x:v>0</x:v>
      </x:c>
      <x:c r="O461" s="21" t="n">
        <x:v>0</x:v>
      </x:c>
      <x:c r="P461" s="21" t="n">
        <x:v>0</x:v>
      </x:c>
      <x:c r="Q461" s="21" t="n">
        <x:v>1</x:v>
      </x:c>
      <x:c r="R461" s="21" t="n">
        <x:v>0</x:v>
      </x:c>
      <x:c r="S461" s="17" t="str">
        <x:v>보문산 삼계탕</x:v>
      </x:c>
      <x:c r="T461" s="22" t="n">
        <x:v>36.316908</x:v>
      </x:c>
      <x:c r="U461" s="22" t="n">
        <x:v>127.415363</x:v>
      </x:c>
    </x:row>
  </x:sheetData>
  <x:conditionalFormatting sqref="A2:A461">
    <x:cfRule type="containsText" dxfId="0" priority="1" operator="containsText" text="approved"/>
    <x:cfRule type="containsText" dxfId="1" priority="2" operator="containsText" text="hold"/>
    <x:cfRule type="containsText" dxfId="2" priority="3" operator="containsText" text="rejected"/>
    <x:cfRule type="containsText" dxfId="3" priority="4" operator="containsText" text="pending"/>
  </x:conditionalFormatting>
  <x:conditionalFormatting sqref="E2:E46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A2:A461">
      <x:formula1>"pending,approved,hold,rejected"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6e9b5f93c147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5" t="str">
        <x:v>식당 후보 검토 가이드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4">
      <x:c r="A4" s="200" t="str">
        <x:v>후보 검토 시트에서 필터를 사용하고, 블로그 보기 링크로 최근 운영 상태와 여행 추천 가치를 확인하세요.</x:v>
      </x:c>
      <x:c r="B4" s="200"/>
      <x:c r="C4" s="200"/>
      <x:c r="D4" s="200"/>
      <x:c r="E4" s="200"/>
      <x:c r="F4" s="200"/>
      <x:c r="G4" s="200"/>
      <x:c r="H4" s="200"/>
    </x:row>
    <x:row r="6" ht="26" customHeight="1">
      <x:c r="A6" s="161" t="str">
        <x:v>상태</x:v>
      </x:c>
      <x:c r="B6" s="161" t="str">
        <x:v>의미</x:v>
      </x:c>
      <x:c r="C6" s="161" t="str">
        <x:v>사용 기준</x:v>
      </x:c>
    </x:row>
    <x:row r="7" ht="26" customHeight="1">
      <x:c r="A7" s="172" t="str">
        <x:v>pending</x:v>
      </x:c>
      <x:c r="B7" s="173" t="str">
        <x:v>미검토</x:v>
      </x:c>
      <x:c r="C7" s="174" t="str">
        <x:v>아직 사람이 확인하지 않은 후보</x:v>
      </x:c>
    </x:row>
    <x:row r="8" ht="26" customHeight="1">
      <x:c r="A8" s="175" t="str">
        <x:v>approved</x:v>
      </x:c>
      <x:c r="B8" s="176" t="str">
        <x:v>승인</x:v>
      </x:c>
      <x:c r="C8" s="177" t="str">
        <x:v>최종 추천 목록에 포함할 후보</x:v>
      </x:c>
    </x:row>
    <x:row r="9" ht="26" customHeight="1">
      <x:c r="A9" s="175" t="str">
        <x:v>hold</x:v>
      </x:c>
      <x:c r="B9" s="176" t="str">
        <x:v>보류</x:v>
      </x:c>
      <x:c r="C9" s="177" t="str">
        <x:v>영업 여부나 중복 여부를 추가 확인할 후보</x:v>
      </x:c>
    </x:row>
    <x:row r="10" ht="26" customHeight="1">
      <x:c r="A10" s="178" t="str">
        <x:v>rejected</x:v>
      </x:c>
      <x:c r="B10" s="179" t="str">
        <x:v>제외</x:v>
      </x:c>
      <x:c r="C10" s="180" t="str">
        <x:v>최종 추천 목록에서 제외할 후보</x:v>
      </x:c>
    </x:row>
    <x:row r="11" ht="26" customHeight="1"/>
    <x:row r="12" ht="26" customHeight="1"/>
    <x:row r="13" ht="26" customHeight="1">
      <x:c r="A13" s="161" t="str">
        <x:v>대표 제외 사유</x:v>
      </x:c>
      <x:c r="B13" s="161" t="str">
        <x:v>판정 예시</x:v>
      </x:c>
      <x:c r="C13" s="161"/>
      <x:c r="D13" s="161" t="str">
        <x:v>수작업 확인 항목</x:v>
      </x:c>
      <x:c r="E13" s="161"/>
      <x:c r="F13" s="161"/>
    </x:row>
    <x:row r="14" ht="42" customHeight="1">
      <x:c r="A14" s="210" t="str">
        <x:v>기존 목록 중복</x:v>
      </x:c>
      <x:c r="B14" s="211" t="str">
        <x:v>기존 추천 식당과 같은 업소</x:v>
      </x:c>
      <x:c r="C14" s="211"/>
      <x:c r="D14" s="211" t="str">
        <x:v>영업시간 · 브레이크타임 · 휴무일</x:v>
      </x:c>
      <x:c r="E14" s="211"/>
      <x:c r="F14" s="212"/>
    </x:row>
    <x:row r="15" ht="42" customHeight="1">
      <x:c r="A15" s="213" t="str">
        <x:v>폐업·휴업</x:v>
      </x:c>
      <x:c r="B15" s="214" t="str">
        <x:v>최근 영업 사실을 확인할 수 없음</x:v>
      </x:c>
      <x:c r="C15" s="214"/>
      <x:c r="D15" s="214" t="str">
        <x:v>대표 메뉴 · 가격대</x:v>
      </x:c>
      <x:c r="E15" s="214"/>
      <x:c r="F15" s="215"/>
    </x:row>
    <x:row r="16" ht="42" customHeight="1">
      <x:c r="A16" s="213" t="str">
        <x:v>배달 위주</x:v>
      </x:c>
      <x:c r="B16" s="214" t="str">
        <x:v>여행 중 방문보다 배달·포장 중심</x:v>
      </x:c>
      <x:c r="C16" s="214"/>
      <x:c r="D16" s="214" t="str">
        <x:v>주차 · 예약 · 웨이팅</x:v>
      </x:c>
      <x:c r="E16" s="214"/>
      <x:c r="F16" s="215"/>
    </x:row>
    <x:row r="17" ht="42" customHeight="1">
      <x:c r="A17" s="213" t="str">
        <x:v>일반 프랜차이즈</x:v>
      </x:c>
      <x:c r="B17" s="214" t="str">
        <x:v>지역 고유성이 낮고 어디서나 방문 가능</x:v>
      </x:c>
      <x:c r="C17" s="214"/>
      <x:c r="D17" s="214" t="str">
        <x:v>혼밥 · 가족 · 단체 방문 적합성</x:v>
      </x:c>
      <x:c r="E17" s="214"/>
      <x:c r="F17" s="215"/>
    </x:row>
    <x:row r="18" ht="42" customHeight="1">
      <x:c r="A18" s="213" t="str">
        <x:v>비식당</x:v>
      </x:c>
      <x:c r="B18" s="214" t="str">
        <x:v>먹자거리·명소·마트 등 개별 음식점이 아님</x:v>
      </x:c>
      <x:c r="C18" s="214"/>
      <x:c r="D18" s="214" t="str">
        <x:v>최근 1년 실제 방문 리뷰</x:v>
      </x:c>
      <x:c r="E18" s="214"/>
      <x:c r="F18" s="215"/>
    </x:row>
    <x:row r="19" ht="42" customHeight="1">
      <x:c r="A19" s="213" t="str">
        <x:v>추천 가치 낮음</x:v>
      </x:c>
      <x:c r="B19" s="214" t="str">
        <x:v>대표 메뉴나 방문 이유가 불명확</x:v>
      </x:c>
      <x:c r="C19" s="214"/>
      <x:c r="D19" s="214" t="str">
        <x:v>공식 채널 또는 지도 정보와 교차 확인</x:v>
      </x:c>
      <x:c r="E19" s="214"/>
      <x:c r="F19" s="215"/>
    </x:row>
    <x:row r="20" ht="42" customHeight="1">
      <x:c r="A20" s="216" t="str">
        <x:v>정보 부족</x:v>
      </x:c>
      <x:c r="B20" s="217" t="str">
        <x:v>최신 운영·메뉴 정보를 교차 확인하기 어려움</x:v>
      </x:c>
      <x:c r="C20" s="217"/>
      <x:c r="D20" s="217" t="str">
        <x:v>마지막 확인 날짜 기록</x:v>
      </x:c>
      <x:c r="E20" s="217"/>
      <x:c r="F20" s="218"/>
    </x:row>
    <x:row r="21" ht="26" customHeight="1"/>
    <x:row r="22" ht="26" customHeight="1"/>
    <x:row r="23" ht="32" customHeight="1">
      <x:c r="A23" s="221" t="str">
        <x:v>주의: 추천 점수와 블로그 검색량은 승인 판정이 아니라 검토 순서를 정하기 위한 참고값입니다.</x:v>
      </x:c>
      <x:c r="B23" s="221"/>
      <x:c r="C23" s="221"/>
      <x:c r="D23" s="221"/>
      <x:c r="E23" s="221"/>
      <x:c r="F23" s="221"/>
    </x:row>
    <x:row r="24" ht="32" customHeight="1">
      <x:c r="A24" s="221"/>
      <x:c r="B24" s="221"/>
      <x:c r="C24" s="221"/>
      <x:c r="D24" s="221"/>
      <x:c r="E24" s="221"/>
      <x:c r="F24" s="221"/>
    </x:row>
  </x:sheetData>
  <x:mergeCells>
    <x:mergeCell ref="A1:H2"/>
    <x:mergeCell ref="A4:H4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A23:F24"/>
  </x:mergeCells>
  <x:pageMargins left="0.7" right="0.7" top="0.75" bottom="0.75" header="0.3" footer="0.3"/>
</x:worksheet>
</file>